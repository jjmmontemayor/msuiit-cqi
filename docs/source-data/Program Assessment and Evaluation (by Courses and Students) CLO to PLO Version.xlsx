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ies" sheetId="1" r:id="rId5"/>
    <sheet state="visible" name="CLO_Attainments" sheetId="2" r:id="rId6"/>
    <sheet state="visible" name="Mapping" sheetId="3" r:id="rId7"/>
    <sheet state="visible" name="MapWeight" sheetId="4" r:id="rId8"/>
    <sheet state="visible" name="PLO Attainment by Courses" sheetId="5" r:id="rId9"/>
    <sheet state="visible" name="PLO Attainment by Students" sheetId="6" r:id="rId10"/>
    <sheet state="visible" name="PLO Attainment Evaluation" sheetId="7" r:id="rId11"/>
  </sheets>
  <definedNames/>
  <calcPr/>
</workbook>
</file>

<file path=xl/sharedStrings.xml><?xml version="1.0" encoding="utf-8"?>
<sst xmlns="http://schemas.openxmlformats.org/spreadsheetml/2006/main" count="981" uniqueCount="189">
  <si>
    <t>Activities in the Program Assessment and Evaluation</t>
  </si>
  <si>
    <t>1. Review the Program Learning Outcomes and the Performance Indicators</t>
  </si>
  <si>
    <t>2. Gather all the courses of the program with attainment results of its learning outcomes (CLOs)</t>
  </si>
  <si>
    <t>3. Map the CLOs to the specific PIs of the Program Learning Outcomes using the "I", "P", "D" mapping level</t>
  </si>
  <si>
    <t>4. Fill in the Mapping sheet</t>
  </si>
  <si>
    <t>5. Evaluate the results and fill in the PLO Attainment Evaluation sheet</t>
  </si>
  <si>
    <t>Mapping of CLO to PLO</t>
  </si>
  <si>
    <t>Conversion to Mapping Values ("I" = 1, "P" = 2, "D" = 3)</t>
  </si>
  <si>
    <t>Course Code</t>
  </si>
  <si>
    <t>Course Learning Outcomes (CLO) Attainment</t>
  </si>
  <si>
    <t>CLO No.</t>
  </si>
  <si>
    <t>Batch 2022 to 2025</t>
  </si>
  <si>
    <t>Program Learning Outcome (PLO)</t>
  </si>
  <si>
    <t>ID No.</t>
  </si>
  <si>
    <t>Student Name</t>
  </si>
  <si>
    <t>CCC100</t>
  </si>
  <si>
    <t>CCC101</t>
  </si>
  <si>
    <t>PLO1</t>
  </si>
  <si>
    <t>CCC102</t>
  </si>
  <si>
    <t>PLO2</t>
  </si>
  <si>
    <t>PLO3</t>
  </si>
  <si>
    <t>CCC121</t>
  </si>
  <si>
    <t>PLO4</t>
  </si>
  <si>
    <t>PLO5</t>
  </si>
  <si>
    <t>CCC151</t>
  </si>
  <si>
    <t>PLO6</t>
  </si>
  <si>
    <t>PLO7</t>
  </si>
  <si>
    <t>PLO8</t>
  </si>
  <si>
    <t>CCC181</t>
  </si>
  <si>
    <t>PLO9</t>
  </si>
  <si>
    <t>PLO10</t>
  </si>
  <si>
    <t>CSC109</t>
  </si>
  <si>
    <t>PLO11</t>
  </si>
  <si>
    <t>CSC112</t>
  </si>
  <si>
    <t>CSC113</t>
  </si>
  <si>
    <t>CSC124</t>
  </si>
  <si>
    <t>All Courses</t>
  </si>
  <si>
    <t>CSC130</t>
  </si>
  <si>
    <t>CSC133</t>
  </si>
  <si>
    <t>CSC142</t>
  </si>
  <si>
    <t>CSC145</t>
  </si>
  <si>
    <t>CSC155</t>
  </si>
  <si>
    <t>CSC161</t>
  </si>
  <si>
    <t>Direct Assessment of Program Learning Outcomes(PLOs)</t>
  </si>
  <si>
    <t>CSC171</t>
  </si>
  <si>
    <t>Batch 2022 to 2025, (Mapping Course-Level Achievements)</t>
  </si>
  <si>
    <t>CSC175</t>
  </si>
  <si>
    <t>CSC181</t>
  </si>
  <si>
    <t>CSC186</t>
  </si>
  <si>
    <t>CLO Attainment</t>
  </si>
  <si>
    <t>CSC193</t>
  </si>
  <si>
    <t>Elective 1 (CSC153)</t>
  </si>
  <si>
    <t>Elective 2 (CSC172)</t>
  </si>
  <si>
    <t>Program Performance</t>
  </si>
  <si>
    <t>Elective 3 (CSC173)</t>
  </si>
  <si>
    <t>CLO1</t>
  </si>
  <si>
    <t>CSC194</t>
  </si>
  <si>
    <t>I</t>
  </si>
  <si>
    <t>CSC197</t>
  </si>
  <si>
    <t>CSC198</t>
  </si>
  <si>
    <t>CSC199</t>
  </si>
  <si>
    <t>CLO2</t>
  </si>
  <si>
    <t>CLO 1</t>
  </si>
  <si>
    <t>CLO 2</t>
  </si>
  <si>
    <t>CLO 3</t>
  </si>
  <si>
    <t>CLO3</t>
  </si>
  <si>
    <t>María del Carmen Ibarra</t>
  </si>
  <si>
    <t>P</t>
  </si>
  <si>
    <t>2050-2396</t>
  </si>
  <si>
    <t>Federico Solís</t>
  </si>
  <si>
    <t>D</t>
  </si>
  <si>
    <t>2050-9118</t>
  </si>
  <si>
    <t>José Manuel Campos</t>
  </si>
  <si>
    <t>2050-3425</t>
  </si>
  <si>
    <t>Gabriel Cervantes</t>
  </si>
  <si>
    <t>2050-6286</t>
  </si>
  <si>
    <t>Mayra Muñoz</t>
  </si>
  <si>
    <t>2050-7002</t>
  </si>
  <si>
    <t>Irene Mejía</t>
  </si>
  <si>
    <t>2050-0323</t>
  </si>
  <si>
    <t>Jesús León</t>
  </si>
  <si>
    <t>2050-5644</t>
  </si>
  <si>
    <t>Noé Campos</t>
  </si>
  <si>
    <t>2050-3894</t>
  </si>
  <si>
    <t>Daniel Ortiz</t>
  </si>
  <si>
    <t>2050-0590</t>
  </si>
  <si>
    <t>Santiago López</t>
  </si>
  <si>
    <t>2050-7665</t>
  </si>
  <si>
    <t>Catalina Espinoza</t>
  </si>
  <si>
    <t>2050-8616</t>
  </si>
  <si>
    <t>Cristina Medina</t>
  </si>
  <si>
    <t>2050-9473</t>
  </si>
  <si>
    <t>Gregorio Reyes</t>
  </si>
  <si>
    <t>2050-8848</t>
  </si>
  <si>
    <t>Susana Camacho</t>
  </si>
  <si>
    <t>2050-6999</t>
  </si>
  <si>
    <t>María de Lourdes Fuentes</t>
  </si>
  <si>
    <t>2050-7054</t>
  </si>
  <si>
    <t>Lorena Castro</t>
  </si>
  <si>
    <t>2050-5072</t>
  </si>
  <si>
    <t>Cecilia Castro</t>
  </si>
  <si>
    <t>2050-1391</t>
  </si>
  <si>
    <t>Judith Salgado</t>
  </si>
  <si>
    <t>2050-8307</t>
  </si>
  <si>
    <t>Lucio Vargas</t>
  </si>
  <si>
    <t>2050-6291</t>
  </si>
  <si>
    <t>Antonio Fernández</t>
  </si>
  <si>
    <t>2050-0405</t>
  </si>
  <si>
    <t>David Cervantes</t>
  </si>
  <si>
    <t>2050-8856</t>
  </si>
  <si>
    <t>Lilia Castillo</t>
  </si>
  <si>
    <t>2050-0314</t>
  </si>
  <si>
    <t>Erika Moreno</t>
  </si>
  <si>
    <t>2050-3275</t>
  </si>
  <si>
    <t>Lorena Ramírez</t>
  </si>
  <si>
    <t>2050-0331</t>
  </si>
  <si>
    <t>Juan Orozco</t>
  </si>
  <si>
    <t>2050-3781</t>
  </si>
  <si>
    <t>Irma Salgado</t>
  </si>
  <si>
    <t>Summary of Mapping Level Per PLO:</t>
  </si>
  <si>
    <t>2050-3361</t>
  </si>
  <si>
    <t>Erika Luna</t>
  </si>
  <si>
    <t>2050-0547</t>
  </si>
  <si>
    <t>Armando Hernández</t>
  </si>
  <si>
    <t>2050-2749</t>
  </si>
  <si>
    <t>Verónica De la cruz</t>
  </si>
  <si>
    <t>2050-7607</t>
  </si>
  <si>
    <t>Juana Carrillo</t>
  </si>
  <si>
    <t>2050-3697</t>
  </si>
  <si>
    <t>Laura Luna</t>
  </si>
  <si>
    <t>2050-8983</t>
  </si>
  <si>
    <t>Víctor García</t>
  </si>
  <si>
    <t>2050-6098</t>
  </si>
  <si>
    <t>Claudia Muñoz</t>
  </si>
  <si>
    <t>2050-2237</t>
  </si>
  <si>
    <t>Gonzalo Romero</t>
  </si>
  <si>
    <t>2050-4155</t>
  </si>
  <si>
    <t>Juanita Salas</t>
  </si>
  <si>
    <t>Program Learning Outcomes (CLO) Attainment</t>
  </si>
  <si>
    <t>2050-5737</t>
  </si>
  <si>
    <t>Jesús Castro</t>
  </si>
  <si>
    <t>2050-3167</t>
  </si>
  <si>
    <t>Manuel Guzmán</t>
  </si>
  <si>
    <t>2050-2174</t>
  </si>
  <si>
    <t>Mauricio Pineda</t>
  </si>
  <si>
    <t>2050-1961</t>
  </si>
  <si>
    <t>María Isabel Valenzuela</t>
  </si>
  <si>
    <t>2050-0929</t>
  </si>
  <si>
    <t>Elizabeth Rangel</t>
  </si>
  <si>
    <t>CLO Average</t>
  </si>
  <si>
    <t>Total Number of Students</t>
  </si>
  <si>
    <t>Total Number of GS Students</t>
  </si>
  <si>
    <t>Executive Summary Alert</t>
  </si>
  <si>
    <t>Nota Bene:</t>
  </si>
  <si>
    <t>1. Performance Critera is set to:</t>
  </si>
  <si>
    <t>Benchmark: 70%</t>
  </si>
  <si>
    <t>Target: 70%</t>
  </si>
  <si>
    <t>2. CQI Alert Signs:</t>
  </si>
  <si>
    <t>✅  - Target Met</t>
  </si>
  <si>
    <t>❌  - Action Required</t>
  </si>
  <si>
    <t>3. GS - A student who achieved the benchmark or greater is considered Good Standing (GS)</t>
  </si>
  <si>
    <t>Evaluation of Individual PLO (Batch 2022 to 2025)</t>
  </si>
  <si>
    <t>PLO1:</t>
  </si>
  <si>
    <t>Ability to apply knowledge of mathematics, science, and engineering to model and analyze manufacturing and industrial engineering problems.</t>
  </si>
  <si>
    <t>Performance Indicators (PI)</t>
  </si>
  <si>
    <t>Key Courses</t>
  </si>
  <si>
    <t>Assessment Methods</t>
  </si>
  <si>
    <t>Benchmark and Target</t>
  </si>
  <si>
    <t>Results</t>
  </si>
  <si>
    <t>Course/CLO</t>
  </si>
  <si>
    <t>Mapping Level</t>
  </si>
  <si>
    <t>PI1:</t>
  </si>
  <si>
    <t>Identify the variables, objectives and constraints in a problem</t>
  </si>
  <si>
    <t>CCC100/CLO1</t>
  </si>
  <si>
    <t>Various course-embedded assessments for this CLO (or list the key/specific assessments)</t>
  </si>
  <si>
    <t>70% of the students achieved at least 70% of the CLOs total score</t>
  </si>
  <si>
    <t>&lt;Analyze the results based on the results from the computation of attainment of this PI&gt;</t>
  </si>
  <si>
    <t>Other Course/ CLO mapped to this PI</t>
  </si>
  <si>
    <t>PI2:</t>
  </si>
  <si>
    <t>Derive an engineering formula from mathematical, scientific and/or engineering science principles</t>
  </si>
  <si>
    <t>CCC101/CLO1</t>
  </si>
  <si>
    <t>PI3:</t>
  </si>
  <si>
    <t>Determine the appropriate formula for a particular engineering problem</t>
  </si>
  <si>
    <t>CCC124/CLO1</t>
  </si>
  <si>
    <t>Do the same report for other PLOs...</t>
  </si>
  <si>
    <t>Cohort Average Score</t>
  </si>
  <si>
    <t>Total Cohort Size</t>
  </si>
  <si>
    <t>Attainment Rate</t>
  </si>
  <si>
    <t>3. GS - A student who achieved the benchmark is considered Good Standing (GS)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</si>
</sst>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sz val="8.0"/>
      <color theme="1"/>
      <name val="Arial"/>
      <scheme val="minor"/>
    </font>
    <font>
      <color theme="1"/>
      <name val="Arial"/>
    </font>
    <font>
      <b/>
      <color rgb="FF999999"/>
      <name val="Arial"/>
    </font>
    <font>
      <color rgb="FF999999"/>
      <name val="Arial"/>
    </font>
    <font>
      <b/>
      <sz val="10.0"/>
      <color theme="1"/>
      <name val="Arial"/>
      <scheme val="minor"/>
    </font>
    <font>
      <b/>
      <color rgb="FF999999"/>
      <name val="Monospace"/>
    </font>
    <font>
      <b/>
      <color rgb="FF073763"/>
      <name val="Arial"/>
    </font>
    <font>
      <b/>
      <color rgb="FF073763"/>
      <name val="Arial"/>
      <scheme val="minor"/>
    </font>
    <font>
      <b/>
      <color theme="1"/>
      <name val="Monospace"/>
    </font>
    <font>
      <b/>
      <color theme="1"/>
      <name val="Arial"/>
    </font>
    <font>
      <sz val="10.0"/>
      <color theme="1"/>
      <name val="Arial"/>
      <scheme val="minor"/>
    </font>
    <font>
      <color theme="1"/>
      <name val="Monospace"/>
    </font>
    <font>
      <i/>
      <color theme="1"/>
      <name val="Arial"/>
      <scheme val="minor"/>
    </font>
    <font>
      <sz val="10.0"/>
      <color theme="1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Font="1"/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4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7" fillId="2" fontId="2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8" fillId="2" fontId="2" numFmtId="0" xfId="0" applyBorder="1" applyFont="1"/>
    <xf borderId="0" fillId="0" fontId="5" numFmtId="0" xfId="0" applyAlignment="1" applyFont="1">
      <alignment vertical="bottom"/>
    </xf>
    <xf borderId="1" fillId="2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0" fillId="2" fontId="2" numFmtId="0" xfId="0" applyBorder="1" applyFont="1"/>
    <xf borderId="8" fillId="0" fontId="2" numFmtId="0" xfId="0" applyAlignment="1" applyBorder="1" applyFont="1">
      <alignment readingOrder="0"/>
    </xf>
    <xf borderId="1" fillId="0" fontId="5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vertical="center"/>
    </xf>
    <xf borderId="0" fillId="0" fontId="1" numFmtId="0" xfId="0" applyFont="1"/>
    <xf borderId="12" fillId="2" fontId="2" numFmtId="0" xfId="0" applyBorder="1" applyFont="1"/>
    <xf borderId="9" fillId="0" fontId="2" numFmtId="0" xfId="0" applyAlignment="1" applyBorder="1" applyFont="1">
      <alignment readingOrder="0"/>
    </xf>
    <xf borderId="5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0" fontId="2" numFmtId="0" xfId="0" applyBorder="1" applyFont="1"/>
    <xf borderId="0" fillId="0" fontId="9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0" fillId="0" fontId="5" numFmtId="0" xfId="0" applyAlignment="1" applyBorder="1" applyFont="1">
      <alignment vertical="bottom"/>
    </xf>
    <xf borderId="6" fillId="0" fontId="10" numFmtId="2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vertical="center"/>
    </xf>
    <xf borderId="0" fillId="0" fontId="2" numFmtId="0" xfId="0" applyFont="1"/>
    <xf borderId="7" fillId="0" fontId="2" numFmtId="164" xfId="0" applyBorder="1" applyFont="1" applyNumberFormat="1"/>
    <xf borderId="0" fillId="0" fontId="5" numFmtId="0" xfId="0" applyAlignment="1" applyFont="1">
      <alignment horizontal="center" vertical="center"/>
    </xf>
    <xf borderId="8" fillId="0" fontId="2" numFmtId="164" xfId="0" applyBorder="1" applyFont="1" applyNumberFormat="1"/>
    <xf borderId="13" fillId="0" fontId="2" numFmtId="164" xfId="0" applyBorder="1" applyFont="1" applyNumberFormat="1"/>
    <xf borderId="10" fillId="0" fontId="2" numFmtId="164" xfId="0" applyBorder="1" applyFont="1" applyNumberFormat="1"/>
    <xf borderId="0" fillId="0" fontId="2" numFmtId="164" xfId="0" applyFont="1" applyNumberFormat="1"/>
    <xf borderId="14" fillId="0" fontId="2" numFmtId="164" xfId="0" applyBorder="1" applyFont="1" applyNumberFormat="1"/>
    <xf borderId="12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6" fillId="0" fontId="11" numFmtId="2" xfId="0" applyBorder="1" applyFont="1" applyNumberFormat="1"/>
    <xf borderId="7" fillId="0" fontId="2" numFmtId="0" xfId="0" applyAlignment="1" applyBorder="1" applyFont="1">
      <alignment readingOrder="0"/>
    </xf>
    <xf borderId="8" fillId="0" fontId="8" numFmtId="2" xfId="0" applyBorder="1" applyFont="1" applyNumberFormat="1"/>
    <xf borderId="11" fillId="0" fontId="12" numFmtId="2" xfId="0" applyAlignment="1" applyBorder="1" applyFont="1" applyNumberFormat="1">
      <alignment horizontal="right" vertical="bottom"/>
    </xf>
    <xf borderId="11" fillId="0" fontId="13" numFmtId="2" xfId="0" applyAlignment="1" applyBorder="1" applyFont="1" applyNumberFormat="1">
      <alignment vertical="bottom"/>
    </xf>
    <xf borderId="6" fillId="0" fontId="1" numFmtId="2" xfId="0" applyBorder="1" applyFont="1" applyNumberFormat="1"/>
    <xf borderId="10" fillId="0" fontId="2" numFmtId="0" xfId="0" applyBorder="1" applyFont="1"/>
    <xf borderId="8" fillId="0" fontId="2" numFmtId="2" xfId="0" applyAlignment="1" applyBorder="1" applyFont="1" applyNumberFormat="1">
      <alignment readingOrder="0"/>
    </xf>
    <xf borderId="1" fillId="0" fontId="7" numFmtId="2" xfId="0" applyAlignment="1" applyBorder="1" applyFont="1" applyNumberFormat="1">
      <alignment horizontal="right" vertical="bottom"/>
    </xf>
    <xf borderId="1" fillId="0" fontId="7" numFmtId="2" xfId="0" applyAlignment="1" applyBorder="1" applyFont="1" applyNumberFormat="1">
      <alignment vertical="bottom"/>
    </xf>
    <xf borderId="0" fillId="0" fontId="14" numFmtId="0" xfId="0" applyAlignment="1" applyFont="1">
      <alignment horizontal="center" readingOrder="0"/>
    </xf>
    <xf borderId="0" fillId="0" fontId="2" numFmtId="2" xfId="0" applyAlignment="1" applyFont="1" applyNumberFormat="1">
      <alignment readingOrder="0"/>
    </xf>
    <xf borderId="11" fillId="0" fontId="7" numFmtId="2" xfId="0" applyAlignment="1" applyBorder="1" applyFont="1" applyNumberFormat="1">
      <alignment vertical="bottom"/>
    </xf>
    <xf borderId="11" fillId="0" fontId="7" numFmtId="2" xfId="0" applyAlignment="1" applyBorder="1" applyFont="1" applyNumberFormat="1">
      <alignment horizontal="right" vertical="bottom"/>
    </xf>
    <xf borderId="12" fillId="0" fontId="2" numFmtId="0" xfId="0" applyBorder="1" applyFont="1"/>
    <xf borderId="9" fillId="0" fontId="2" numFmtId="2" xfId="0" applyAlignment="1" applyBorder="1" applyFont="1" applyNumberFormat="1">
      <alignment readingOrder="0"/>
    </xf>
    <xf borderId="5" fillId="0" fontId="7" numFmtId="2" xfId="0" applyAlignment="1" applyBorder="1" applyFont="1" applyNumberFormat="1">
      <alignment vertical="bottom"/>
    </xf>
    <xf borderId="5" fillId="0" fontId="7" numFmtId="2" xfId="0" applyAlignment="1" applyBorder="1" applyFont="1" applyNumberFormat="1">
      <alignment horizontal="right" vertical="bottom"/>
    </xf>
    <xf borderId="11" fillId="0" fontId="13" numFmtId="2" xfId="0" applyAlignment="1" applyBorder="1" applyFont="1" applyNumberFormat="1">
      <alignment horizontal="right" vertical="bottom"/>
    </xf>
    <xf borderId="1" fillId="2" fontId="1" numFmtId="0" xfId="0" applyAlignment="1" applyBorder="1" applyFont="1">
      <alignment readingOrder="0" shrinkToFit="0" vertical="top" wrapText="1"/>
    </xf>
    <xf borderId="6" fillId="0" fontId="1" numFmtId="0" xfId="0" applyAlignment="1" applyBorder="1" applyFont="1">
      <alignment horizontal="center" readingOrder="0" shrinkToFit="0" vertical="top" wrapText="1"/>
    </xf>
    <xf borderId="6" fillId="0" fontId="15" numFmtId="0" xfId="0" applyAlignment="1" applyBorder="1" applyFont="1">
      <alignment horizontal="center" vertical="bottom"/>
    </xf>
    <xf borderId="11" fillId="0" fontId="3" numFmtId="0" xfId="0" applyBorder="1" applyFont="1"/>
    <xf borderId="6" fillId="0" fontId="5" numFmtId="0" xfId="0" applyAlignment="1" applyBorder="1" applyFont="1">
      <alignment horizontal="center" vertical="bottom"/>
    </xf>
    <xf borderId="0" fillId="2" fontId="16" numFmtId="0" xfId="0" applyAlignment="1" applyFont="1">
      <alignment readingOrder="0"/>
    </xf>
    <xf borderId="0" fillId="0" fontId="5" numFmtId="2" xfId="0" applyAlignment="1" applyFont="1" applyNumberFormat="1">
      <alignment horizontal="right" vertical="bottom"/>
    </xf>
    <xf borderId="12" fillId="0" fontId="2" numFmtId="164" xfId="0" applyBorder="1" applyFont="1" applyNumberFormat="1"/>
    <xf borderId="9" fillId="0" fontId="2" numFmtId="164" xfId="0" applyBorder="1" applyFont="1" applyNumberFormat="1"/>
    <xf borderId="15" fillId="0" fontId="2" numFmtId="164" xfId="0" applyBorder="1" applyFont="1" applyNumberFormat="1"/>
    <xf borderId="0" fillId="0" fontId="1" numFmtId="2" xfId="0" applyFont="1" applyNumberFormat="1"/>
    <xf borderId="0" fillId="0" fontId="2" numFmtId="0" xfId="0" applyAlignment="1" applyFont="1">
      <alignment horizontal="center"/>
    </xf>
    <xf borderId="0" fillId="0" fontId="14" numFmtId="0" xfId="0" applyFont="1"/>
    <xf borderId="0" fillId="0" fontId="17" numFmtId="0" xfId="0" applyFont="1"/>
    <xf borderId="2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readingOrder="0"/>
    </xf>
    <xf borderId="6" fillId="0" fontId="2" numFmtId="0" xfId="0" applyBorder="1" applyFont="1"/>
    <xf borderId="1" fillId="0" fontId="14" numFmtId="0" xfId="0" applyAlignment="1" applyBorder="1" applyFont="1">
      <alignment readingOrder="0" shrinkToFit="0" vertical="top" wrapText="1"/>
    </xf>
    <xf borderId="6" fillId="0" fontId="1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readingOrder="0" shrinkToFit="0" vertical="top" wrapText="1"/>
    </xf>
    <xf borderId="6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13" numFmtId="2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2"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5.13"/>
    <col customWidth="1" min="3" max="86" width="6.38"/>
  </cols>
  <sheetData>
    <row r="1">
      <c r="A1" s="1" t="s">
        <v>9</v>
      </c>
    </row>
    <row r="2">
      <c r="A2" s="1" t="s">
        <v>11</v>
      </c>
    </row>
    <row r="3">
      <c r="A3" s="5" t="s">
        <v>13</v>
      </c>
      <c r="B3" s="5" t="s">
        <v>14</v>
      </c>
      <c r="C3" s="9" t="s">
        <v>15</v>
      </c>
      <c r="D3" s="10"/>
      <c r="E3" s="11"/>
      <c r="F3" s="9" t="s">
        <v>16</v>
      </c>
      <c r="G3" s="10"/>
      <c r="H3" s="11"/>
      <c r="I3" s="9" t="s">
        <v>18</v>
      </c>
      <c r="J3" s="10"/>
      <c r="K3" s="11"/>
      <c r="L3" s="9" t="s">
        <v>21</v>
      </c>
      <c r="M3" s="10"/>
      <c r="N3" s="11"/>
      <c r="O3" s="9" t="s">
        <v>24</v>
      </c>
      <c r="P3" s="10"/>
      <c r="Q3" s="11"/>
      <c r="R3" s="9" t="s">
        <v>28</v>
      </c>
      <c r="S3" s="10"/>
      <c r="T3" s="11"/>
      <c r="U3" s="9" t="s">
        <v>31</v>
      </c>
      <c r="V3" s="10"/>
      <c r="W3" s="11"/>
      <c r="X3" s="9" t="s">
        <v>33</v>
      </c>
      <c r="Y3" s="10"/>
      <c r="Z3" s="11"/>
      <c r="AA3" s="9" t="s">
        <v>34</v>
      </c>
      <c r="AB3" s="10"/>
      <c r="AC3" s="11"/>
      <c r="AD3" s="9" t="s">
        <v>35</v>
      </c>
      <c r="AE3" s="10"/>
      <c r="AF3" s="11"/>
      <c r="AG3" s="9" t="s">
        <v>37</v>
      </c>
      <c r="AH3" s="10"/>
      <c r="AI3" s="11"/>
      <c r="AJ3" s="9" t="s">
        <v>38</v>
      </c>
      <c r="AK3" s="10"/>
      <c r="AL3" s="11"/>
      <c r="AM3" s="9" t="s">
        <v>39</v>
      </c>
      <c r="AN3" s="10"/>
      <c r="AO3" s="11"/>
      <c r="AP3" s="9" t="s">
        <v>40</v>
      </c>
      <c r="AQ3" s="10"/>
      <c r="AR3" s="11"/>
      <c r="AS3" s="9" t="s">
        <v>41</v>
      </c>
      <c r="AT3" s="10"/>
      <c r="AU3" s="11"/>
      <c r="AV3" s="9" t="s">
        <v>42</v>
      </c>
      <c r="AW3" s="10"/>
      <c r="AX3" s="11"/>
      <c r="AY3" s="9" t="s">
        <v>44</v>
      </c>
      <c r="AZ3" s="10"/>
      <c r="BA3" s="11"/>
      <c r="BB3" s="9" t="s">
        <v>46</v>
      </c>
      <c r="BC3" s="10"/>
      <c r="BD3" s="11"/>
      <c r="BE3" s="9" t="s">
        <v>47</v>
      </c>
      <c r="BF3" s="10"/>
      <c r="BG3" s="11"/>
      <c r="BH3" s="9" t="s">
        <v>48</v>
      </c>
      <c r="BI3" s="10"/>
      <c r="BJ3" s="11"/>
      <c r="BK3" s="9" t="s">
        <v>50</v>
      </c>
      <c r="BL3" s="10"/>
      <c r="BM3" s="11"/>
      <c r="BN3" s="9" t="s">
        <v>51</v>
      </c>
      <c r="BO3" s="10"/>
      <c r="BP3" s="11"/>
      <c r="BQ3" s="9" t="s">
        <v>52</v>
      </c>
      <c r="BR3" s="10"/>
      <c r="BS3" s="11"/>
      <c r="BT3" s="9" t="s">
        <v>54</v>
      </c>
      <c r="BU3" s="10"/>
      <c r="BV3" s="11"/>
      <c r="BW3" s="9" t="s">
        <v>56</v>
      </c>
      <c r="BX3" s="10"/>
      <c r="BY3" s="11"/>
      <c r="BZ3" s="9" t="s">
        <v>58</v>
      </c>
      <c r="CA3" s="10"/>
      <c r="CB3" s="11"/>
      <c r="CC3" s="9" t="s">
        <v>59</v>
      </c>
      <c r="CD3" s="10"/>
      <c r="CE3" s="11"/>
      <c r="CF3" s="9" t="s">
        <v>60</v>
      </c>
      <c r="CG3" s="10"/>
      <c r="CH3" s="11"/>
    </row>
    <row r="4">
      <c r="A4" s="12"/>
      <c r="B4" s="12"/>
      <c r="C4" s="29" t="s">
        <v>62</v>
      </c>
      <c r="D4" s="29" t="s">
        <v>63</v>
      </c>
      <c r="E4" s="29" t="s">
        <v>64</v>
      </c>
      <c r="F4" s="29" t="s">
        <v>62</v>
      </c>
      <c r="G4" s="29" t="s">
        <v>63</v>
      </c>
      <c r="H4" s="29" t="s">
        <v>64</v>
      </c>
      <c r="I4" s="29" t="s">
        <v>62</v>
      </c>
      <c r="J4" s="29" t="s">
        <v>63</v>
      </c>
      <c r="K4" s="29" t="s">
        <v>64</v>
      </c>
      <c r="L4" s="29" t="s">
        <v>62</v>
      </c>
      <c r="M4" s="29" t="s">
        <v>63</v>
      </c>
      <c r="N4" s="29" t="s">
        <v>64</v>
      </c>
      <c r="O4" s="29" t="s">
        <v>62</v>
      </c>
      <c r="P4" s="29" t="s">
        <v>63</v>
      </c>
      <c r="Q4" s="29" t="s">
        <v>64</v>
      </c>
      <c r="R4" s="29" t="s">
        <v>62</v>
      </c>
      <c r="S4" s="29" t="s">
        <v>63</v>
      </c>
      <c r="T4" s="29" t="s">
        <v>64</v>
      </c>
      <c r="U4" s="29" t="s">
        <v>62</v>
      </c>
      <c r="V4" s="29" t="s">
        <v>63</v>
      </c>
      <c r="W4" s="29" t="s">
        <v>64</v>
      </c>
      <c r="X4" s="29" t="s">
        <v>62</v>
      </c>
      <c r="Y4" s="29" t="s">
        <v>63</v>
      </c>
      <c r="Z4" s="29" t="s">
        <v>64</v>
      </c>
      <c r="AA4" s="29" t="s">
        <v>62</v>
      </c>
      <c r="AB4" s="29" t="s">
        <v>63</v>
      </c>
      <c r="AC4" s="29" t="s">
        <v>64</v>
      </c>
      <c r="AD4" s="29" t="s">
        <v>62</v>
      </c>
      <c r="AE4" s="29" t="s">
        <v>63</v>
      </c>
      <c r="AF4" s="29" t="s">
        <v>64</v>
      </c>
      <c r="AG4" s="29" t="s">
        <v>62</v>
      </c>
      <c r="AH4" s="29" t="s">
        <v>63</v>
      </c>
      <c r="AI4" s="29" t="s">
        <v>64</v>
      </c>
      <c r="AJ4" s="29" t="s">
        <v>62</v>
      </c>
      <c r="AK4" s="29" t="s">
        <v>63</v>
      </c>
      <c r="AL4" s="29" t="s">
        <v>64</v>
      </c>
      <c r="AM4" s="29" t="s">
        <v>62</v>
      </c>
      <c r="AN4" s="29" t="s">
        <v>63</v>
      </c>
      <c r="AO4" s="29" t="s">
        <v>64</v>
      </c>
      <c r="AP4" s="29" t="s">
        <v>62</v>
      </c>
      <c r="AQ4" s="29" t="s">
        <v>63</v>
      </c>
      <c r="AR4" s="29" t="s">
        <v>64</v>
      </c>
      <c r="AS4" s="29" t="s">
        <v>62</v>
      </c>
      <c r="AT4" s="29" t="s">
        <v>63</v>
      </c>
      <c r="AU4" s="29" t="s">
        <v>64</v>
      </c>
      <c r="AV4" s="29" t="s">
        <v>62</v>
      </c>
      <c r="AW4" s="29" t="s">
        <v>63</v>
      </c>
      <c r="AX4" s="29" t="s">
        <v>64</v>
      </c>
      <c r="AY4" s="29" t="s">
        <v>62</v>
      </c>
      <c r="AZ4" s="29" t="s">
        <v>63</v>
      </c>
      <c r="BA4" s="29" t="s">
        <v>64</v>
      </c>
      <c r="BB4" s="29" t="s">
        <v>62</v>
      </c>
      <c r="BC4" s="29" t="s">
        <v>63</v>
      </c>
      <c r="BD4" s="29" t="s">
        <v>64</v>
      </c>
      <c r="BE4" s="29" t="s">
        <v>62</v>
      </c>
      <c r="BF4" s="29" t="s">
        <v>63</v>
      </c>
      <c r="BG4" s="29" t="s">
        <v>64</v>
      </c>
      <c r="BH4" s="29" t="s">
        <v>62</v>
      </c>
      <c r="BI4" s="29" t="s">
        <v>63</v>
      </c>
      <c r="BJ4" s="29" t="s">
        <v>64</v>
      </c>
      <c r="BK4" s="29" t="s">
        <v>62</v>
      </c>
      <c r="BL4" s="29" t="s">
        <v>63</v>
      </c>
      <c r="BM4" s="29" t="s">
        <v>64</v>
      </c>
      <c r="BN4" s="29" t="s">
        <v>62</v>
      </c>
      <c r="BO4" s="29" t="s">
        <v>63</v>
      </c>
      <c r="BP4" s="29" t="s">
        <v>64</v>
      </c>
      <c r="BQ4" s="29" t="s">
        <v>62</v>
      </c>
      <c r="BR4" s="29" t="s">
        <v>63</v>
      </c>
      <c r="BS4" s="29" t="s">
        <v>64</v>
      </c>
      <c r="BT4" s="29" t="s">
        <v>62</v>
      </c>
      <c r="BU4" s="29" t="s">
        <v>63</v>
      </c>
      <c r="BV4" s="29" t="s">
        <v>64</v>
      </c>
      <c r="BW4" s="29" t="s">
        <v>62</v>
      </c>
      <c r="BX4" s="29" t="s">
        <v>63</v>
      </c>
      <c r="BY4" s="29" t="s">
        <v>64</v>
      </c>
      <c r="BZ4" s="29" t="s">
        <v>62</v>
      </c>
      <c r="CA4" s="29" t="s">
        <v>63</v>
      </c>
      <c r="CB4" s="29" t="s">
        <v>64</v>
      </c>
      <c r="CC4" s="29" t="s">
        <v>62</v>
      </c>
      <c r="CD4" s="29" t="s">
        <v>63</v>
      </c>
      <c r="CE4" s="29" t="s">
        <v>64</v>
      </c>
      <c r="CF4" s="29" t="s">
        <v>62</v>
      </c>
      <c r="CG4" s="29" t="s">
        <v>63</v>
      </c>
      <c r="CH4" s="29" t="s">
        <v>64</v>
      </c>
    </row>
    <row r="6">
      <c r="A6" s="47" t="str">
        <f t="array" ref="A6:A45">MAP(SEQUENCE(40,1), LAMBDA(x, "2050-" &amp; TEXT(RANDBETWEEN(0, 9999), "0000")))</f>
        <v>2050-4522</v>
      </c>
      <c r="B6" s="2" t="s">
        <v>66</v>
      </c>
      <c r="C6" s="48">
        <f t="array" ref="C6:CH45">INT(RANDARRAY(40, 84) * (100 - 60) + 60)</f>
        <v>78</v>
      </c>
      <c r="D6" s="50">
        <v>69.0</v>
      </c>
      <c r="E6" s="51">
        <v>77.0</v>
      </c>
      <c r="F6" s="48">
        <v>61.0</v>
      </c>
      <c r="G6" s="50">
        <v>63.0</v>
      </c>
      <c r="H6" s="51">
        <v>94.0</v>
      </c>
      <c r="I6" s="48">
        <v>86.0</v>
      </c>
      <c r="J6" s="50">
        <v>67.0</v>
      </c>
      <c r="K6" s="51">
        <v>88.0</v>
      </c>
      <c r="L6" s="48">
        <v>83.0</v>
      </c>
      <c r="M6" s="50">
        <v>80.0</v>
      </c>
      <c r="N6" s="51">
        <v>99.0</v>
      </c>
      <c r="O6" s="48">
        <v>89.0</v>
      </c>
      <c r="P6" s="50">
        <v>70.0</v>
      </c>
      <c r="Q6" s="51">
        <v>60.0</v>
      </c>
      <c r="R6" s="48">
        <v>81.0</v>
      </c>
      <c r="S6" s="50">
        <v>97.0</v>
      </c>
      <c r="T6" s="51">
        <v>63.0</v>
      </c>
      <c r="U6" s="48">
        <v>99.0</v>
      </c>
      <c r="V6" s="50">
        <v>97.0</v>
      </c>
      <c r="W6" s="51">
        <v>69.0</v>
      </c>
      <c r="X6" s="48">
        <v>74.0</v>
      </c>
      <c r="Y6" s="50">
        <v>77.0</v>
      </c>
      <c r="Z6" s="51">
        <v>83.0</v>
      </c>
      <c r="AA6" s="48">
        <v>61.0</v>
      </c>
      <c r="AB6" s="50">
        <v>97.0</v>
      </c>
      <c r="AC6" s="51">
        <v>99.0</v>
      </c>
      <c r="AD6" s="48">
        <v>92.0</v>
      </c>
      <c r="AE6" s="50">
        <v>79.0</v>
      </c>
      <c r="AF6" s="51">
        <v>85.0</v>
      </c>
      <c r="AG6" s="48">
        <v>95.0</v>
      </c>
      <c r="AH6" s="50">
        <v>95.0</v>
      </c>
      <c r="AI6" s="51">
        <v>60.0</v>
      </c>
      <c r="AJ6" s="48">
        <v>79.0</v>
      </c>
      <c r="AK6" s="50">
        <v>70.0</v>
      </c>
      <c r="AL6" s="51">
        <v>80.0</v>
      </c>
      <c r="AM6" s="48">
        <v>99.0</v>
      </c>
      <c r="AN6" s="50">
        <v>65.0</v>
      </c>
      <c r="AO6" s="51">
        <v>92.0</v>
      </c>
      <c r="AP6" s="48">
        <v>87.0</v>
      </c>
      <c r="AQ6" s="50">
        <v>79.0</v>
      </c>
      <c r="AR6" s="51">
        <v>71.0</v>
      </c>
      <c r="AS6" s="48">
        <v>99.0</v>
      </c>
      <c r="AT6" s="50">
        <v>99.0</v>
      </c>
      <c r="AU6" s="51">
        <v>80.0</v>
      </c>
      <c r="AV6" s="48">
        <v>78.0</v>
      </c>
      <c r="AW6" s="50">
        <v>65.0</v>
      </c>
      <c r="AX6" s="51">
        <v>62.0</v>
      </c>
      <c r="AY6" s="48">
        <v>85.0</v>
      </c>
      <c r="AZ6" s="50">
        <v>80.0</v>
      </c>
      <c r="BA6" s="51">
        <v>64.0</v>
      </c>
      <c r="BB6" s="48">
        <v>65.0</v>
      </c>
      <c r="BC6" s="50">
        <v>74.0</v>
      </c>
      <c r="BD6" s="51">
        <v>99.0</v>
      </c>
      <c r="BE6" s="48">
        <v>86.0</v>
      </c>
      <c r="BF6" s="50">
        <v>62.0</v>
      </c>
      <c r="BG6" s="51">
        <v>67.0</v>
      </c>
      <c r="BH6" s="48">
        <v>80.0</v>
      </c>
      <c r="BI6" s="50">
        <v>83.0</v>
      </c>
      <c r="BJ6" s="51">
        <v>95.0</v>
      </c>
      <c r="BK6" s="48">
        <v>63.0</v>
      </c>
      <c r="BL6" s="50">
        <v>64.0</v>
      </c>
      <c r="BM6" s="51">
        <v>94.0</v>
      </c>
      <c r="BN6" s="48">
        <v>90.0</v>
      </c>
      <c r="BO6" s="50">
        <v>87.0</v>
      </c>
      <c r="BP6" s="51">
        <v>96.0</v>
      </c>
      <c r="BQ6" s="48">
        <v>83.0</v>
      </c>
      <c r="BR6" s="50">
        <v>63.0</v>
      </c>
      <c r="BS6" s="51">
        <v>84.0</v>
      </c>
      <c r="BT6" s="48">
        <v>76.0</v>
      </c>
      <c r="BU6" s="50">
        <v>87.0</v>
      </c>
      <c r="BV6" s="51">
        <v>90.0</v>
      </c>
      <c r="BW6" s="48">
        <v>87.0</v>
      </c>
      <c r="BX6" s="50">
        <v>92.0</v>
      </c>
      <c r="BY6" s="51">
        <v>68.0</v>
      </c>
      <c r="BZ6" s="48">
        <v>84.0</v>
      </c>
      <c r="CA6" s="50">
        <v>82.0</v>
      </c>
      <c r="CB6" s="51">
        <v>86.0</v>
      </c>
      <c r="CC6" s="48">
        <v>87.0</v>
      </c>
      <c r="CD6" s="50">
        <v>63.0</v>
      </c>
      <c r="CE6" s="51">
        <v>73.0</v>
      </c>
      <c r="CF6" s="48">
        <v>85.0</v>
      </c>
      <c r="CG6" s="50">
        <v>94.0</v>
      </c>
      <c r="CH6" s="51">
        <v>79.0</v>
      </c>
    </row>
    <row r="7">
      <c r="A7" s="47" t="s">
        <v>68</v>
      </c>
      <c r="B7" s="2" t="s">
        <v>69</v>
      </c>
      <c r="C7" s="52">
        <v>95.0</v>
      </c>
      <c r="D7" s="53">
        <v>77.0</v>
      </c>
      <c r="E7" s="54">
        <v>61.0</v>
      </c>
      <c r="F7" s="52">
        <v>88.0</v>
      </c>
      <c r="G7" s="53">
        <v>98.0</v>
      </c>
      <c r="H7" s="54">
        <v>97.0</v>
      </c>
      <c r="I7" s="52">
        <v>86.0</v>
      </c>
      <c r="J7" s="53">
        <v>86.0</v>
      </c>
      <c r="K7" s="54">
        <v>96.0</v>
      </c>
      <c r="L7" s="52">
        <v>83.0</v>
      </c>
      <c r="M7" s="53">
        <v>98.0</v>
      </c>
      <c r="N7" s="54">
        <v>71.0</v>
      </c>
      <c r="O7" s="52">
        <v>87.0</v>
      </c>
      <c r="P7" s="53">
        <v>68.0</v>
      </c>
      <c r="Q7" s="54">
        <v>96.0</v>
      </c>
      <c r="R7" s="52">
        <v>80.0</v>
      </c>
      <c r="S7" s="53">
        <v>63.0</v>
      </c>
      <c r="T7" s="54">
        <v>92.0</v>
      </c>
      <c r="U7" s="52">
        <v>73.0</v>
      </c>
      <c r="V7" s="53">
        <v>77.0</v>
      </c>
      <c r="W7" s="54">
        <v>75.0</v>
      </c>
      <c r="X7" s="52">
        <v>74.0</v>
      </c>
      <c r="Y7" s="53">
        <v>91.0</v>
      </c>
      <c r="Z7" s="54">
        <v>83.0</v>
      </c>
      <c r="AA7" s="52">
        <v>73.0</v>
      </c>
      <c r="AB7" s="53">
        <v>67.0</v>
      </c>
      <c r="AC7" s="54">
        <v>64.0</v>
      </c>
      <c r="AD7" s="52">
        <v>62.0</v>
      </c>
      <c r="AE7" s="53">
        <v>71.0</v>
      </c>
      <c r="AF7" s="54">
        <v>80.0</v>
      </c>
      <c r="AG7" s="52">
        <v>60.0</v>
      </c>
      <c r="AH7" s="53">
        <v>98.0</v>
      </c>
      <c r="AI7" s="54">
        <v>63.0</v>
      </c>
      <c r="AJ7" s="52">
        <v>71.0</v>
      </c>
      <c r="AK7" s="53">
        <v>75.0</v>
      </c>
      <c r="AL7" s="54">
        <v>77.0</v>
      </c>
      <c r="AM7" s="52">
        <v>75.0</v>
      </c>
      <c r="AN7" s="53">
        <v>69.0</v>
      </c>
      <c r="AO7" s="54">
        <v>91.0</v>
      </c>
      <c r="AP7" s="52">
        <v>65.0</v>
      </c>
      <c r="AQ7" s="53">
        <v>86.0</v>
      </c>
      <c r="AR7" s="54">
        <v>72.0</v>
      </c>
      <c r="AS7" s="52">
        <v>79.0</v>
      </c>
      <c r="AT7" s="53">
        <v>93.0</v>
      </c>
      <c r="AU7" s="54">
        <v>98.0</v>
      </c>
      <c r="AV7" s="52">
        <v>77.0</v>
      </c>
      <c r="AW7" s="53">
        <v>66.0</v>
      </c>
      <c r="AX7" s="54">
        <v>82.0</v>
      </c>
      <c r="AY7" s="52">
        <v>97.0</v>
      </c>
      <c r="AZ7" s="53">
        <v>74.0</v>
      </c>
      <c r="BA7" s="54">
        <v>67.0</v>
      </c>
      <c r="BB7" s="52">
        <v>65.0</v>
      </c>
      <c r="BC7" s="53">
        <v>65.0</v>
      </c>
      <c r="BD7" s="54">
        <v>74.0</v>
      </c>
      <c r="BE7" s="52">
        <v>71.0</v>
      </c>
      <c r="BF7" s="53">
        <v>66.0</v>
      </c>
      <c r="BG7" s="54">
        <v>61.0</v>
      </c>
      <c r="BH7" s="52">
        <v>89.0</v>
      </c>
      <c r="BI7" s="53">
        <v>62.0</v>
      </c>
      <c r="BJ7" s="54">
        <v>86.0</v>
      </c>
      <c r="BK7" s="52">
        <v>79.0</v>
      </c>
      <c r="BL7" s="53">
        <v>91.0</v>
      </c>
      <c r="BM7" s="54">
        <v>84.0</v>
      </c>
      <c r="BN7" s="52">
        <v>70.0</v>
      </c>
      <c r="BO7" s="53">
        <v>75.0</v>
      </c>
      <c r="BP7" s="54">
        <v>97.0</v>
      </c>
      <c r="BQ7" s="52">
        <v>87.0</v>
      </c>
      <c r="BR7" s="53">
        <v>69.0</v>
      </c>
      <c r="BS7" s="54">
        <v>91.0</v>
      </c>
      <c r="BT7" s="52">
        <v>92.0</v>
      </c>
      <c r="BU7" s="53">
        <v>91.0</v>
      </c>
      <c r="BV7" s="54">
        <v>63.0</v>
      </c>
      <c r="BW7" s="52">
        <v>63.0</v>
      </c>
      <c r="BX7" s="53">
        <v>90.0</v>
      </c>
      <c r="BY7" s="54">
        <v>98.0</v>
      </c>
      <c r="BZ7" s="52">
        <v>62.0</v>
      </c>
      <c r="CA7" s="53">
        <v>81.0</v>
      </c>
      <c r="CB7" s="54">
        <v>69.0</v>
      </c>
      <c r="CC7" s="52">
        <v>95.0</v>
      </c>
      <c r="CD7" s="53">
        <v>75.0</v>
      </c>
      <c r="CE7" s="54">
        <v>85.0</v>
      </c>
      <c r="CF7" s="52">
        <v>83.0</v>
      </c>
      <c r="CG7" s="53">
        <v>95.0</v>
      </c>
      <c r="CH7" s="54">
        <v>93.0</v>
      </c>
    </row>
    <row r="8">
      <c r="A8" s="47" t="s">
        <v>71</v>
      </c>
      <c r="B8" s="2" t="s">
        <v>72</v>
      </c>
      <c r="C8" s="52">
        <v>92.0</v>
      </c>
      <c r="D8" s="53">
        <v>83.0</v>
      </c>
      <c r="E8" s="54">
        <v>63.0</v>
      </c>
      <c r="F8" s="52">
        <v>68.0</v>
      </c>
      <c r="G8" s="53">
        <v>82.0</v>
      </c>
      <c r="H8" s="54">
        <v>89.0</v>
      </c>
      <c r="I8" s="52">
        <v>85.0</v>
      </c>
      <c r="J8" s="53">
        <v>84.0</v>
      </c>
      <c r="K8" s="54">
        <v>86.0</v>
      </c>
      <c r="L8" s="52">
        <v>80.0</v>
      </c>
      <c r="M8" s="53">
        <v>64.0</v>
      </c>
      <c r="N8" s="54">
        <v>91.0</v>
      </c>
      <c r="O8" s="52">
        <v>72.0</v>
      </c>
      <c r="P8" s="53">
        <v>88.0</v>
      </c>
      <c r="Q8" s="54">
        <v>85.0</v>
      </c>
      <c r="R8" s="52">
        <v>98.0</v>
      </c>
      <c r="S8" s="53">
        <v>62.0</v>
      </c>
      <c r="T8" s="54">
        <v>62.0</v>
      </c>
      <c r="U8" s="52">
        <v>60.0</v>
      </c>
      <c r="V8" s="53">
        <v>84.0</v>
      </c>
      <c r="W8" s="54">
        <v>80.0</v>
      </c>
      <c r="X8" s="52">
        <v>81.0</v>
      </c>
      <c r="Y8" s="53">
        <v>60.0</v>
      </c>
      <c r="Z8" s="54">
        <v>76.0</v>
      </c>
      <c r="AA8" s="52">
        <v>68.0</v>
      </c>
      <c r="AB8" s="53">
        <v>77.0</v>
      </c>
      <c r="AC8" s="54">
        <v>95.0</v>
      </c>
      <c r="AD8" s="52">
        <v>96.0</v>
      </c>
      <c r="AE8" s="53">
        <v>78.0</v>
      </c>
      <c r="AF8" s="54">
        <v>72.0</v>
      </c>
      <c r="AG8" s="52">
        <v>88.0</v>
      </c>
      <c r="AH8" s="53">
        <v>83.0</v>
      </c>
      <c r="AI8" s="54">
        <v>81.0</v>
      </c>
      <c r="AJ8" s="52">
        <v>74.0</v>
      </c>
      <c r="AK8" s="53">
        <v>64.0</v>
      </c>
      <c r="AL8" s="54">
        <v>86.0</v>
      </c>
      <c r="AM8" s="52">
        <v>84.0</v>
      </c>
      <c r="AN8" s="53">
        <v>63.0</v>
      </c>
      <c r="AO8" s="54">
        <v>62.0</v>
      </c>
      <c r="AP8" s="52">
        <v>65.0</v>
      </c>
      <c r="AQ8" s="53">
        <v>84.0</v>
      </c>
      <c r="AR8" s="54">
        <v>75.0</v>
      </c>
      <c r="AS8" s="52">
        <v>77.0</v>
      </c>
      <c r="AT8" s="53">
        <v>90.0</v>
      </c>
      <c r="AU8" s="54">
        <v>63.0</v>
      </c>
      <c r="AV8" s="52">
        <v>80.0</v>
      </c>
      <c r="AW8" s="53">
        <v>85.0</v>
      </c>
      <c r="AX8" s="54">
        <v>78.0</v>
      </c>
      <c r="AY8" s="52">
        <v>71.0</v>
      </c>
      <c r="AZ8" s="53">
        <v>77.0</v>
      </c>
      <c r="BA8" s="54">
        <v>90.0</v>
      </c>
      <c r="BB8" s="52">
        <v>71.0</v>
      </c>
      <c r="BC8" s="53">
        <v>81.0</v>
      </c>
      <c r="BD8" s="54">
        <v>91.0</v>
      </c>
      <c r="BE8" s="52">
        <v>82.0</v>
      </c>
      <c r="BF8" s="53">
        <v>65.0</v>
      </c>
      <c r="BG8" s="54">
        <v>76.0</v>
      </c>
      <c r="BH8" s="52">
        <v>84.0</v>
      </c>
      <c r="BI8" s="53">
        <v>65.0</v>
      </c>
      <c r="BJ8" s="54">
        <v>90.0</v>
      </c>
      <c r="BK8" s="52">
        <v>78.0</v>
      </c>
      <c r="BL8" s="53">
        <v>94.0</v>
      </c>
      <c r="BM8" s="54">
        <v>96.0</v>
      </c>
      <c r="BN8" s="52">
        <v>64.0</v>
      </c>
      <c r="BO8" s="53">
        <v>92.0</v>
      </c>
      <c r="BP8" s="54">
        <v>67.0</v>
      </c>
      <c r="BQ8" s="52">
        <v>62.0</v>
      </c>
      <c r="BR8" s="53">
        <v>98.0</v>
      </c>
      <c r="BS8" s="54">
        <v>60.0</v>
      </c>
      <c r="BT8" s="52">
        <v>61.0</v>
      </c>
      <c r="BU8" s="53">
        <v>73.0</v>
      </c>
      <c r="BV8" s="54">
        <v>68.0</v>
      </c>
      <c r="BW8" s="52">
        <v>87.0</v>
      </c>
      <c r="BX8" s="53">
        <v>95.0</v>
      </c>
      <c r="BY8" s="54">
        <v>81.0</v>
      </c>
      <c r="BZ8" s="52">
        <v>86.0</v>
      </c>
      <c r="CA8" s="53">
        <v>65.0</v>
      </c>
      <c r="CB8" s="54">
        <v>76.0</v>
      </c>
      <c r="CC8" s="52">
        <v>92.0</v>
      </c>
      <c r="CD8" s="53">
        <v>92.0</v>
      </c>
      <c r="CE8" s="54">
        <v>82.0</v>
      </c>
      <c r="CF8" s="52">
        <v>74.0</v>
      </c>
      <c r="CG8" s="53">
        <v>68.0</v>
      </c>
      <c r="CH8" s="54">
        <v>69.0</v>
      </c>
    </row>
    <row r="9">
      <c r="A9" s="47" t="s">
        <v>73</v>
      </c>
      <c r="B9" s="2" t="s">
        <v>74</v>
      </c>
      <c r="C9" s="52">
        <v>62.0</v>
      </c>
      <c r="D9" s="53">
        <v>87.0</v>
      </c>
      <c r="E9" s="54">
        <v>74.0</v>
      </c>
      <c r="F9" s="52">
        <v>70.0</v>
      </c>
      <c r="G9" s="53">
        <v>73.0</v>
      </c>
      <c r="H9" s="54">
        <v>63.0</v>
      </c>
      <c r="I9" s="52">
        <v>88.0</v>
      </c>
      <c r="J9" s="53">
        <v>67.0</v>
      </c>
      <c r="K9" s="54">
        <v>89.0</v>
      </c>
      <c r="L9" s="52">
        <v>74.0</v>
      </c>
      <c r="M9" s="53">
        <v>83.0</v>
      </c>
      <c r="N9" s="54">
        <v>90.0</v>
      </c>
      <c r="O9" s="52">
        <v>61.0</v>
      </c>
      <c r="P9" s="53">
        <v>74.0</v>
      </c>
      <c r="Q9" s="54">
        <v>91.0</v>
      </c>
      <c r="R9" s="52">
        <v>61.0</v>
      </c>
      <c r="S9" s="53">
        <v>69.0</v>
      </c>
      <c r="T9" s="54">
        <v>76.0</v>
      </c>
      <c r="U9" s="52">
        <v>80.0</v>
      </c>
      <c r="V9" s="53">
        <v>83.0</v>
      </c>
      <c r="W9" s="54">
        <v>80.0</v>
      </c>
      <c r="X9" s="52">
        <v>60.0</v>
      </c>
      <c r="Y9" s="53">
        <v>61.0</v>
      </c>
      <c r="Z9" s="54">
        <v>94.0</v>
      </c>
      <c r="AA9" s="52">
        <v>68.0</v>
      </c>
      <c r="AB9" s="53">
        <v>88.0</v>
      </c>
      <c r="AC9" s="54">
        <v>76.0</v>
      </c>
      <c r="AD9" s="52">
        <v>60.0</v>
      </c>
      <c r="AE9" s="53">
        <v>60.0</v>
      </c>
      <c r="AF9" s="54">
        <v>91.0</v>
      </c>
      <c r="AG9" s="52">
        <v>74.0</v>
      </c>
      <c r="AH9" s="53">
        <v>86.0</v>
      </c>
      <c r="AI9" s="54">
        <v>81.0</v>
      </c>
      <c r="AJ9" s="52">
        <v>70.0</v>
      </c>
      <c r="AK9" s="53">
        <v>77.0</v>
      </c>
      <c r="AL9" s="54">
        <v>67.0</v>
      </c>
      <c r="AM9" s="52">
        <v>72.0</v>
      </c>
      <c r="AN9" s="53">
        <v>66.0</v>
      </c>
      <c r="AO9" s="54">
        <v>72.0</v>
      </c>
      <c r="AP9" s="52">
        <v>77.0</v>
      </c>
      <c r="AQ9" s="53">
        <v>65.0</v>
      </c>
      <c r="AR9" s="54">
        <v>75.0</v>
      </c>
      <c r="AS9" s="52">
        <v>84.0</v>
      </c>
      <c r="AT9" s="53">
        <v>91.0</v>
      </c>
      <c r="AU9" s="54">
        <v>67.0</v>
      </c>
      <c r="AV9" s="52">
        <v>64.0</v>
      </c>
      <c r="AW9" s="53">
        <v>60.0</v>
      </c>
      <c r="AX9" s="54">
        <v>74.0</v>
      </c>
      <c r="AY9" s="52">
        <v>80.0</v>
      </c>
      <c r="AZ9" s="53">
        <v>98.0</v>
      </c>
      <c r="BA9" s="54">
        <v>90.0</v>
      </c>
      <c r="BB9" s="52">
        <v>84.0</v>
      </c>
      <c r="BC9" s="53">
        <v>63.0</v>
      </c>
      <c r="BD9" s="54">
        <v>97.0</v>
      </c>
      <c r="BE9" s="52">
        <v>71.0</v>
      </c>
      <c r="BF9" s="53">
        <v>83.0</v>
      </c>
      <c r="BG9" s="54">
        <v>74.0</v>
      </c>
      <c r="BH9" s="52">
        <v>69.0</v>
      </c>
      <c r="BI9" s="53">
        <v>81.0</v>
      </c>
      <c r="BJ9" s="54">
        <v>86.0</v>
      </c>
      <c r="BK9" s="52">
        <v>66.0</v>
      </c>
      <c r="BL9" s="53">
        <v>93.0</v>
      </c>
      <c r="BM9" s="54">
        <v>72.0</v>
      </c>
      <c r="BN9" s="52">
        <v>85.0</v>
      </c>
      <c r="BO9" s="53">
        <v>72.0</v>
      </c>
      <c r="BP9" s="54">
        <v>77.0</v>
      </c>
      <c r="BQ9" s="52">
        <v>72.0</v>
      </c>
      <c r="BR9" s="53">
        <v>61.0</v>
      </c>
      <c r="BS9" s="54">
        <v>79.0</v>
      </c>
      <c r="BT9" s="52">
        <v>82.0</v>
      </c>
      <c r="BU9" s="53">
        <v>88.0</v>
      </c>
      <c r="BV9" s="54">
        <v>69.0</v>
      </c>
      <c r="BW9" s="52">
        <v>92.0</v>
      </c>
      <c r="BX9" s="53">
        <v>91.0</v>
      </c>
      <c r="BY9" s="54">
        <v>95.0</v>
      </c>
      <c r="BZ9" s="52">
        <v>89.0</v>
      </c>
      <c r="CA9" s="53">
        <v>90.0</v>
      </c>
      <c r="CB9" s="54">
        <v>95.0</v>
      </c>
      <c r="CC9" s="52">
        <v>64.0</v>
      </c>
      <c r="CD9" s="53">
        <v>70.0</v>
      </c>
      <c r="CE9" s="54">
        <v>85.0</v>
      </c>
      <c r="CF9" s="52">
        <v>64.0</v>
      </c>
      <c r="CG9" s="53">
        <v>63.0</v>
      </c>
      <c r="CH9" s="54">
        <v>82.0</v>
      </c>
    </row>
    <row r="10">
      <c r="A10" s="47" t="s">
        <v>75</v>
      </c>
      <c r="B10" s="2" t="s">
        <v>76</v>
      </c>
      <c r="C10" s="52">
        <v>97.0</v>
      </c>
      <c r="D10" s="53">
        <v>74.0</v>
      </c>
      <c r="E10" s="54">
        <v>80.0</v>
      </c>
      <c r="F10" s="52">
        <v>61.0</v>
      </c>
      <c r="G10" s="53">
        <v>78.0</v>
      </c>
      <c r="H10" s="54">
        <v>87.0</v>
      </c>
      <c r="I10" s="52">
        <v>91.0</v>
      </c>
      <c r="J10" s="53">
        <v>64.0</v>
      </c>
      <c r="K10" s="54">
        <v>82.0</v>
      </c>
      <c r="L10" s="52">
        <v>83.0</v>
      </c>
      <c r="M10" s="53">
        <v>91.0</v>
      </c>
      <c r="N10" s="54">
        <v>97.0</v>
      </c>
      <c r="O10" s="52">
        <v>81.0</v>
      </c>
      <c r="P10" s="53">
        <v>75.0</v>
      </c>
      <c r="Q10" s="54">
        <v>99.0</v>
      </c>
      <c r="R10" s="52">
        <v>92.0</v>
      </c>
      <c r="S10" s="53">
        <v>88.0</v>
      </c>
      <c r="T10" s="54">
        <v>64.0</v>
      </c>
      <c r="U10" s="52">
        <v>86.0</v>
      </c>
      <c r="V10" s="53">
        <v>83.0</v>
      </c>
      <c r="W10" s="54">
        <v>79.0</v>
      </c>
      <c r="X10" s="52">
        <v>93.0</v>
      </c>
      <c r="Y10" s="53">
        <v>96.0</v>
      </c>
      <c r="Z10" s="54">
        <v>64.0</v>
      </c>
      <c r="AA10" s="52">
        <v>99.0</v>
      </c>
      <c r="AB10" s="53">
        <v>89.0</v>
      </c>
      <c r="AC10" s="54">
        <v>74.0</v>
      </c>
      <c r="AD10" s="52">
        <v>83.0</v>
      </c>
      <c r="AE10" s="53">
        <v>80.0</v>
      </c>
      <c r="AF10" s="54">
        <v>96.0</v>
      </c>
      <c r="AG10" s="52">
        <v>66.0</v>
      </c>
      <c r="AH10" s="53">
        <v>63.0</v>
      </c>
      <c r="AI10" s="54">
        <v>88.0</v>
      </c>
      <c r="AJ10" s="52">
        <v>82.0</v>
      </c>
      <c r="AK10" s="53">
        <v>69.0</v>
      </c>
      <c r="AL10" s="54">
        <v>90.0</v>
      </c>
      <c r="AM10" s="52">
        <v>93.0</v>
      </c>
      <c r="AN10" s="53">
        <v>79.0</v>
      </c>
      <c r="AO10" s="54">
        <v>85.0</v>
      </c>
      <c r="AP10" s="52">
        <v>90.0</v>
      </c>
      <c r="AQ10" s="53">
        <v>79.0</v>
      </c>
      <c r="AR10" s="54">
        <v>72.0</v>
      </c>
      <c r="AS10" s="52">
        <v>99.0</v>
      </c>
      <c r="AT10" s="53">
        <v>76.0</v>
      </c>
      <c r="AU10" s="54">
        <v>62.0</v>
      </c>
      <c r="AV10" s="52">
        <v>60.0</v>
      </c>
      <c r="AW10" s="53">
        <v>78.0</v>
      </c>
      <c r="AX10" s="54">
        <v>74.0</v>
      </c>
      <c r="AY10" s="52">
        <v>84.0</v>
      </c>
      <c r="AZ10" s="53">
        <v>91.0</v>
      </c>
      <c r="BA10" s="54">
        <v>99.0</v>
      </c>
      <c r="BB10" s="52">
        <v>92.0</v>
      </c>
      <c r="BC10" s="53">
        <v>85.0</v>
      </c>
      <c r="BD10" s="54">
        <v>85.0</v>
      </c>
      <c r="BE10" s="52">
        <v>74.0</v>
      </c>
      <c r="BF10" s="53">
        <v>72.0</v>
      </c>
      <c r="BG10" s="54">
        <v>69.0</v>
      </c>
      <c r="BH10" s="52">
        <v>69.0</v>
      </c>
      <c r="BI10" s="53">
        <v>73.0</v>
      </c>
      <c r="BJ10" s="54">
        <v>80.0</v>
      </c>
      <c r="BK10" s="52">
        <v>88.0</v>
      </c>
      <c r="BL10" s="53">
        <v>62.0</v>
      </c>
      <c r="BM10" s="54">
        <v>69.0</v>
      </c>
      <c r="BN10" s="52">
        <v>62.0</v>
      </c>
      <c r="BO10" s="53">
        <v>96.0</v>
      </c>
      <c r="BP10" s="54">
        <v>65.0</v>
      </c>
      <c r="BQ10" s="52">
        <v>65.0</v>
      </c>
      <c r="BR10" s="53">
        <v>77.0</v>
      </c>
      <c r="BS10" s="54">
        <v>68.0</v>
      </c>
      <c r="BT10" s="52">
        <v>89.0</v>
      </c>
      <c r="BU10" s="53">
        <v>84.0</v>
      </c>
      <c r="BV10" s="54">
        <v>85.0</v>
      </c>
      <c r="BW10" s="52">
        <v>63.0</v>
      </c>
      <c r="BX10" s="53">
        <v>93.0</v>
      </c>
      <c r="BY10" s="54">
        <v>79.0</v>
      </c>
      <c r="BZ10" s="52">
        <v>72.0</v>
      </c>
      <c r="CA10" s="53">
        <v>84.0</v>
      </c>
      <c r="CB10" s="54">
        <v>90.0</v>
      </c>
      <c r="CC10" s="52">
        <v>75.0</v>
      </c>
      <c r="CD10" s="53">
        <v>91.0</v>
      </c>
      <c r="CE10" s="54">
        <v>63.0</v>
      </c>
      <c r="CF10" s="52">
        <v>92.0</v>
      </c>
      <c r="CG10" s="53">
        <v>95.0</v>
      </c>
      <c r="CH10" s="54">
        <v>93.0</v>
      </c>
    </row>
    <row r="11">
      <c r="A11" s="47" t="s">
        <v>77</v>
      </c>
      <c r="B11" s="2" t="s">
        <v>78</v>
      </c>
      <c r="C11" s="52">
        <v>60.0</v>
      </c>
      <c r="D11" s="53">
        <v>84.0</v>
      </c>
      <c r="E11" s="54">
        <v>71.0</v>
      </c>
      <c r="F11" s="52">
        <v>97.0</v>
      </c>
      <c r="G11" s="53">
        <v>93.0</v>
      </c>
      <c r="H11" s="54">
        <v>75.0</v>
      </c>
      <c r="I11" s="52">
        <v>79.0</v>
      </c>
      <c r="J11" s="53">
        <v>84.0</v>
      </c>
      <c r="K11" s="54">
        <v>73.0</v>
      </c>
      <c r="L11" s="52">
        <v>80.0</v>
      </c>
      <c r="M11" s="53">
        <v>84.0</v>
      </c>
      <c r="N11" s="54">
        <v>80.0</v>
      </c>
      <c r="O11" s="52">
        <v>96.0</v>
      </c>
      <c r="P11" s="53">
        <v>93.0</v>
      </c>
      <c r="Q11" s="54">
        <v>96.0</v>
      </c>
      <c r="R11" s="52">
        <v>86.0</v>
      </c>
      <c r="S11" s="53">
        <v>95.0</v>
      </c>
      <c r="T11" s="54">
        <v>78.0</v>
      </c>
      <c r="U11" s="52">
        <v>99.0</v>
      </c>
      <c r="V11" s="53">
        <v>67.0</v>
      </c>
      <c r="W11" s="54">
        <v>91.0</v>
      </c>
      <c r="X11" s="52">
        <v>69.0</v>
      </c>
      <c r="Y11" s="53">
        <v>84.0</v>
      </c>
      <c r="Z11" s="54">
        <v>66.0</v>
      </c>
      <c r="AA11" s="52">
        <v>76.0</v>
      </c>
      <c r="AB11" s="53">
        <v>89.0</v>
      </c>
      <c r="AC11" s="54">
        <v>60.0</v>
      </c>
      <c r="AD11" s="52">
        <v>62.0</v>
      </c>
      <c r="AE11" s="53">
        <v>93.0</v>
      </c>
      <c r="AF11" s="54">
        <v>65.0</v>
      </c>
      <c r="AG11" s="52">
        <v>84.0</v>
      </c>
      <c r="AH11" s="53">
        <v>90.0</v>
      </c>
      <c r="AI11" s="54">
        <v>79.0</v>
      </c>
      <c r="AJ11" s="52">
        <v>78.0</v>
      </c>
      <c r="AK11" s="53">
        <v>69.0</v>
      </c>
      <c r="AL11" s="54">
        <v>62.0</v>
      </c>
      <c r="AM11" s="52">
        <v>94.0</v>
      </c>
      <c r="AN11" s="53">
        <v>60.0</v>
      </c>
      <c r="AO11" s="54">
        <v>67.0</v>
      </c>
      <c r="AP11" s="52">
        <v>70.0</v>
      </c>
      <c r="AQ11" s="53">
        <v>63.0</v>
      </c>
      <c r="AR11" s="54">
        <v>63.0</v>
      </c>
      <c r="AS11" s="52">
        <v>61.0</v>
      </c>
      <c r="AT11" s="53">
        <v>95.0</v>
      </c>
      <c r="AU11" s="54">
        <v>70.0</v>
      </c>
      <c r="AV11" s="52">
        <v>83.0</v>
      </c>
      <c r="AW11" s="53">
        <v>79.0</v>
      </c>
      <c r="AX11" s="54">
        <v>65.0</v>
      </c>
      <c r="AY11" s="52">
        <v>63.0</v>
      </c>
      <c r="AZ11" s="53">
        <v>64.0</v>
      </c>
      <c r="BA11" s="54">
        <v>88.0</v>
      </c>
      <c r="BB11" s="52">
        <v>74.0</v>
      </c>
      <c r="BC11" s="53">
        <v>88.0</v>
      </c>
      <c r="BD11" s="54">
        <v>85.0</v>
      </c>
      <c r="BE11" s="52">
        <v>60.0</v>
      </c>
      <c r="BF11" s="53">
        <v>85.0</v>
      </c>
      <c r="BG11" s="54">
        <v>90.0</v>
      </c>
      <c r="BH11" s="52">
        <v>96.0</v>
      </c>
      <c r="BI11" s="53">
        <v>75.0</v>
      </c>
      <c r="BJ11" s="54">
        <v>60.0</v>
      </c>
      <c r="BK11" s="52">
        <v>71.0</v>
      </c>
      <c r="BL11" s="53">
        <v>69.0</v>
      </c>
      <c r="BM11" s="54">
        <v>66.0</v>
      </c>
      <c r="BN11" s="52">
        <v>81.0</v>
      </c>
      <c r="BO11" s="53">
        <v>66.0</v>
      </c>
      <c r="BP11" s="54">
        <v>72.0</v>
      </c>
      <c r="BQ11" s="52">
        <v>89.0</v>
      </c>
      <c r="BR11" s="53">
        <v>62.0</v>
      </c>
      <c r="BS11" s="54">
        <v>78.0</v>
      </c>
      <c r="BT11" s="52">
        <v>66.0</v>
      </c>
      <c r="BU11" s="53">
        <v>87.0</v>
      </c>
      <c r="BV11" s="54">
        <v>70.0</v>
      </c>
      <c r="BW11" s="52">
        <v>86.0</v>
      </c>
      <c r="BX11" s="53">
        <v>73.0</v>
      </c>
      <c r="BY11" s="54">
        <v>87.0</v>
      </c>
      <c r="BZ11" s="52">
        <v>82.0</v>
      </c>
      <c r="CA11" s="53">
        <v>63.0</v>
      </c>
      <c r="CB11" s="54">
        <v>92.0</v>
      </c>
      <c r="CC11" s="52">
        <v>81.0</v>
      </c>
      <c r="CD11" s="53">
        <v>66.0</v>
      </c>
      <c r="CE11" s="54">
        <v>88.0</v>
      </c>
      <c r="CF11" s="52">
        <v>70.0</v>
      </c>
      <c r="CG11" s="53">
        <v>77.0</v>
      </c>
      <c r="CH11" s="54">
        <v>97.0</v>
      </c>
    </row>
    <row r="12">
      <c r="A12" s="47" t="s">
        <v>79</v>
      </c>
      <c r="B12" s="2" t="s">
        <v>80</v>
      </c>
      <c r="C12" s="52">
        <v>83.0</v>
      </c>
      <c r="D12" s="53">
        <v>78.0</v>
      </c>
      <c r="E12" s="54">
        <v>70.0</v>
      </c>
      <c r="F12" s="52">
        <v>90.0</v>
      </c>
      <c r="G12" s="53">
        <v>66.0</v>
      </c>
      <c r="H12" s="54">
        <v>89.0</v>
      </c>
      <c r="I12" s="52">
        <v>91.0</v>
      </c>
      <c r="J12" s="53">
        <v>71.0</v>
      </c>
      <c r="K12" s="54">
        <v>90.0</v>
      </c>
      <c r="L12" s="52">
        <v>99.0</v>
      </c>
      <c r="M12" s="53">
        <v>81.0</v>
      </c>
      <c r="N12" s="54">
        <v>66.0</v>
      </c>
      <c r="O12" s="52">
        <v>78.0</v>
      </c>
      <c r="P12" s="53">
        <v>98.0</v>
      </c>
      <c r="Q12" s="54">
        <v>67.0</v>
      </c>
      <c r="R12" s="52">
        <v>80.0</v>
      </c>
      <c r="S12" s="53">
        <v>69.0</v>
      </c>
      <c r="T12" s="54">
        <v>95.0</v>
      </c>
      <c r="U12" s="52">
        <v>89.0</v>
      </c>
      <c r="V12" s="53">
        <v>82.0</v>
      </c>
      <c r="W12" s="54">
        <v>74.0</v>
      </c>
      <c r="X12" s="52">
        <v>92.0</v>
      </c>
      <c r="Y12" s="53">
        <v>63.0</v>
      </c>
      <c r="Z12" s="54">
        <v>85.0</v>
      </c>
      <c r="AA12" s="52">
        <v>99.0</v>
      </c>
      <c r="AB12" s="53">
        <v>64.0</v>
      </c>
      <c r="AC12" s="54">
        <v>65.0</v>
      </c>
      <c r="AD12" s="52">
        <v>67.0</v>
      </c>
      <c r="AE12" s="53">
        <v>70.0</v>
      </c>
      <c r="AF12" s="54">
        <v>84.0</v>
      </c>
      <c r="AG12" s="52">
        <v>97.0</v>
      </c>
      <c r="AH12" s="53">
        <v>61.0</v>
      </c>
      <c r="AI12" s="54">
        <v>92.0</v>
      </c>
      <c r="AJ12" s="52">
        <v>88.0</v>
      </c>
      <c r="AK12" s="53">
        <v>62.0</v>
      </c>
      <c r="AL12" s="54">
        <v>81.0</v>
      </c>
      <c r="AM12" s="52">
        <v>75.0</v>
      </c>
      <c r="AN12" s="53">
        <v>98.0</v>
      </c>
      <c r="AO12" s="54">
        <v>74.0</v>
      </c>
      <c r="AP12" s="52">
        <v>94.0</v>
      </c>
      <c r="AQ12" s="53">
        <v>94.0</v>
      </c>
      <c r="AR12" s="54">
        <v>94.0</v>
      </c>
      <c r="AS12" s="52">
        <v>96.0</v>
      </c>
      <c r="AT12" s="53">
        <v>92.0</v>
      </c>
      <c r="AU12" s="54">
        <v>95.0</v>
      </c>
      <c r="AV12" s="52">
        <v>83.0</v>
      </c>
      <c r="AW12" s="53">
        <v>86.0</v>
      </c>
      <c r="AX12" s="54">
        <v>74.0</v>
      </c>
      <c r="AY12" s="52">
        <v>98.0</v>
      </c>
      <c r="AZ12" s="53">
        <v>76.0</v>
      </c>
      <c r="BA12" s="54">
        <v>61.0</v>
      </c>
      <c r="BB12" s="52">
        <v>80.0</v>
      </c>
      <c r="BC12" s="53">
        <v>96.0</v>
      </c>
      <c r="BD12" s="54">
        <v>76.0</v>
      </c>
      <c r="BE12" s="52">
        <v>80.0</v>
      </c>
      <c r="BF12" s="53">
        <v>93.0</v>
      </c>
      <c r="BG12" s="54">
        <v>96.0</v>
      </c>
      <c r="BH12" s="52">
        <v>60.0</v>
      </c>
      <c r="BI12" s="53">
        <v>91.0</v>
      </c>
      <c r="BJ12" s="54">
        <v>92.0</v>
      </c>
      <c r="BK12" s="52">
        <v>95.0</v>
      </c>
      <c r="BL12" s="53">
        <v>70.0</v>
      </c>
      <c r="BM12" s="54">
        <v>87.0</v>
      </c>
      <c r="BN12" s="52">
        <v>61.0</v>
      </c>
      <c r="BO12" s="53">
        <v>92.0</v>
      </c>
      <c r="BP12" s="54">
        <v>91.0</v>
      </c>
      <c r="BQ12" s="52">
        <v>78.0</v>
      </c>
      <c r="BR12" s="53">
        <v>77.0</v>
      </c>
      <c r="BS12" s="54">
        <v>66.0</v>
      </c>
      <c r="BT12" s="52">
        <v>84.0</v>
      </c>
      <c r="BU12" s="53">
        <v>63.0</v>
      </c>
      <c r="BV12" s="54">
        <v>85.0</v>
      </c>
      <c r="BW12" s="52">
        <v>61.0</v>
      </c>
      <c r="BX12" s="53">
        <v>77.0</v>
      </c>
      <c r="BY12" s="54">
        <v>76.0</v>
      </c>
      <c r="BZ12" s="52">
        <v>79.0</v>
      </c>
      <c r="CA12" s="53">
        <v>87.0</v>
      </c>
      <c r="CB12" s="54">
        <v>82.0</v>
      </c>
      <c r="CC12" s="52">
        <v>71.0</v>
      </c>
      <c r="CD12" s="53">
        <v>75.0</v>
      </c>
      <c r="CE12" s="54">
        <v>83.0</v>
      </c>
      <c r="CF12" s="52">
        <v>66.0</v>
      </c>
      <c r="CG12" s="53">
        <v>72.0</v>
      </c>
      <c r="CH12" s="54">
        <v>64.0</v>
      </c>
    </row>
    <row r="13">
      <c r="A13" s="47" t="s">
        <v>81</v>
      </c>
      <c r="B13" s="2" t="s">
        <v>82</v>
      </c>
      <c r="C13" s="52">
        <v>83.0</v>
      </c>
      <c r="D13" s="53">
        <v>66.0</v>
      </c>
      <c r="E13" s="54">
        <v>79.0</v>
      </c>
      <c r="F13" s="52">
        <v>97.0</v>
      </c>
      <c r="G13" s="53">
        <v>83.0</v>
      </c>
      <c r="H13" s="54">
        <v>63.0</v>
      </c>
      <c r="I13" s="52">
        <v>86.0</v>
      </c>
      <c r="J13" s="53">
        <v>95.0</v>
      </c>
      <c r="K13" s="54">
        <v>97.0</v>
      </c>
      <c r="L13" s="52">
        <v>67.0</v>
      </c>
      <c r="M13" s="53">
        <v>94.0</v>
      </c>
      <c r="N13" s="54">
        <v>82.0</v>
      </c>
      <c r="O13" s="52">
        <v>81.0</v>
      </c>
      <c r="P13" s="53">
        <v>66.0</v>
      </c>
      <c r="Q13" s="54">
        <v>72.0</v>
      </c>
      <c r="R13" s="52">
        <v>84.0</v>
      </c>
      <c r="S13" s="53">
        <v>88.0</v>
      </c>
      <c r="T13" s="54">
        <v>74.0</v>
      </c>
      <c r="U13" s="52">
        <v>61.0</v>
      </c>
      <c r="V13" s="53">
        <v>71.0</v>
      </c>
      <c r="W13" s="54">
        <v>82.0</v>
      </c>
      <c r="X13" s="52">
        <v>64.0</v>
      </c>
      <c r="Y13" s="53">
        <v>92.0</v>
      </c>
      <c r="Z13" s="54">
        <v>91.0</v>
      </c>
      <c r="AA13" s="52">
        <v>97.0</v>
      </c>
      <c r="AB13" s="53">
        <v>85.0</v>
      </c>
      <c r="AC13" s="54">
        <v>87.0</v>
      </c>
      <c r="AD13" s="52">
        <v>94.0</v>
      </c>
      <c r="AE13" s="53">
        <v>72.0</v>
      </c>
      <c r="AF13" s="54">
        <v>80.0</v>
      </c>
      <c r="AG13" s="52">
        <v>72.0</v>
      </c>
      <c r="AH13" s="53">
        <v>84.0</v>
      </c>
      <c r="AI13" s="54">
        <v>84.0</v>
      </c>
      <c r="AJ13" s="52">
        <v>61.0</v>
      </c>
      <c r="AK13" s="53">
        <v>86.0</v>
      </c>
      <c r="AL13" s="54">
        <v>62.0</v>
      </c>
      <c r="AM13" s="52">
        <v>94.0</v>
      </c>
      <c r="AN13" s="53">
        <v>69.0</v>
      </c>
      <c r="AO13" s="54">
        <v>95.0</v>
      </c>
      <c r="AP13" s="52">
        <v>96.0</v>
      </c>
      <c r="AQ13" s="53">
        <v>82.0</v>
      </c>
      <c r="AR13" s="54">
        <v>98.0</v>
      </c>
      <c r="AS13" s="52">
        <v>70.0</v>
      </c>
      <c r="AT13" s="53">
        <v>92.0</v>
      </c>
      <c r="AU13" s="54">
        <v>75.0</v>
      </c>
      <c r="AV13" s="52">
        <v>88.0</v>
      </c>
      <c r="AW13" s="53">
        <v>66.0</v>
      </c>
      <c r="AX13" s="54">
        <v>97.0</v>
      </c>
      <c r="AY13" s="52">
        <v>93.0</v>
      </c>
      <c r="AZ13" s="53">
        <v>61.0</v>
      </c>
      <c r="BA13" s="54">
        <v>85.0</v>
      </c>
      <c r="BB13" s="52">
        <v>75.0</v>
      </c>
      <c r="BC13" s="53">
        <v>84.0</v>
      </c>
      <c r="BD13" s="54">
        <v>99.0</v>
      </c>
      <c r="BE13" s="52">
        <v>85.0</v>
      </c>
      <c r="BF13" s="53">
        <v>92.0</v>
      </c>
      <c r="BG13" s="54">
        <v>95.0</v>
      </c>
      <c r="BH13" s="52">
        <v>67.0</v>
      </c>
      <c r="BI13" s="53">
        <v>92.0</v>
      </c>
      <c r="BJ13" s="54">
        <v>83.0</v>
      </c>
      <c r="BK13" s="52">
        <v>67.0</v>
      </c>
      <c r="BL13" s="53">
        <v>77.0</v>
      </c>
      <c r="BM13" s="54">
        <v>74.0</v>
      </c>
      <c r="BN13" s="52">
        <v>75.0</v>
      </c>
      <c r="BO13" s="53">
        <v>87.0</v>
      </c>
      <c r="BP13" s="54">
        <v>65.0</v>
      </c>
      <c r="BQ13" s="52">
        <v>89.0</v>
      </c>
      <c r="BR13" s="53">
        <v>84.0</v>
      </c>
      <c r="BS13" s="54">
        <v>82.0</v>
      </c>
      <c r="BT13" s="52">
        <v>74.0</v>
      </c>
      <c r="BU13" s="53">
        <v>81.0</v>
      </c>
      <c r="BV13" s="54">
        <v>91.0</v>
      </c>
      <c r="BW13" s="52">
        <v>86.0</v>
      </c>
      <c r="BX13" s="53">
        <v>87.0</v>
      </c>
      <c r="BY13" s="54">
        <v>93.0</v>
      </c>
      <c r="BZ13" s="52">
        <v>67.0</v>
      </c>
      <c r="CA13" s="53">
        <v>67.0</v>
      </c>
      <c r="CB13" s="54">
        <v>60.0</v>
      </c>
      <c r="CC13" s="52">
        <v>69.0</v>
      </c>
      <c r="CD13" s="53">
        <v>84.0</v>
      </c>
      <c r="CE13" s="54">
        <v>65.0</v>
      </c>
      <c r="CF13" s="52">
        <v>77.0</v>
      </c>
      <c r="CG13" s="53">
        <v>80.0</v>
      </c>
      <c r="CH13" s="54">
        <v>94.0</v>
      </c>
    </row>
    <row r="14">
      <c r="A14" s="47" t="s">
        <v>83</v>
      </c>
      <c r="B14" s="2" t="s">
        <v>84</v>
      </c>
      <c r="C14" s="52">
        <v>87.0</v>
      </c>
      <c r="D14" s="53">
        <v>66.0</v>
      </c>
      <c r="E14" s="54">
        <v>84.0</v>
      </c>
      <c r="F14" s="52">
        <v>86.0</v>
      </c>
      <c r="G14" s="53">
        <v>75.0</v>
      </c>
      <c r="H14" s="54">
        <v>98.0</v>
      </c>
      <c r="I14" s="52">
        <v>90.0</v>
      </c>
      <c r="J14" s="53">
        <v>98.0</v>
      </c>
      <c r="K14" s="54">
        <v>88.0</v>
      </c>
      <c r="L14" s="52">
        <v>81.0</v>
      </c>
      <c r="M14" s="53">
        <v>96.0</v>
      </c>
      <c r="N14" s="54">
        <v>64.0</v>
      </c>
      <c r="O14" s="52">
        <v>96.0</v>
      </c>
      <c r="P14" s="53">
        <v>70.0</v>
      </c>
      <c r="Q14" s="54">
        <v>98.0</v>
      </c>
      <c r="R14" s="52">
        <v>66.0</v>
      </c>
      <c r="S14" s="53">
        <v>82.0</v>
      </c>
      <c r="T14" s="54">
        <v>63.0</v>
      </c>
      <c r="U14" s="52">
        <v>73.0</v>
      </c>
      <c r="V14" s="53">
        <v>86.0</v>
      </c>
      <c r="W14" s="54">
        <v>62.0</v>
      </c>
      <c r="X14" s="52">
        <v>76.0</v>
      </c>
      <c r="Y14" s="53">
        <v>71.0</v>
      </c>
      <c r="Z14" s="54">
        <v>99.0</v>
      </c>
      <c r="AA14" s="52">
        <v>84.0</v>
      </c>
      <c r="AB14" s="53">
        <v>61.0</v>
      </c>
      <c r="AC14" s="54">
        <v>88.0</v>
      </c>
      <c r="AD14" s="52">
        <v>89.0</v>
      </c>
      <c r="AE14" s="53">
        <v>77.0</v>
      </c>
      <c r="AF14" s="54">
        <v>78.0</v>
      </c>
      <c r="AG14" s="52">
        <v>75.0</v>
      </c>
      <c r="AH14" s="53">
        <v>82.0</v>
      </c>
      <c r="AI14" s="54">
        <v>69.0</v>
      </c>
      <c r="AJ14" s="52">
        <v>65.0</v>
      </c>
      <c r="AK14" s="53">
        <v>65.0</v>
      </c>
      <c r="AL14" s="54">
        <v>93.0</v>
      </c>
      <c r="AM14" s="52">
        <v>91.0</v>
      </c>
      <c r="AN14" s="53">
        <v>92.0</v>
      </c>
      <c r="AO14" s="54">
        <v>69.0</v>
      </c>
      <c r="AP14" s="52">
        <v>81.0</v>
      </c>
      <c r="AQ14" s="53">
        <v>91.0</v>
      </c>
      <c r="AR14" s="54">
        <v>74.0</v>
      </c>
      <c r="AS14" s="52">
        <v>78.0</v>
      </c>
      <c r="AT14" s="53">
        <v>97.0</v>
      </c>
      <c r="AU14" s="54">
        <v>93.0</v>
      </c>
      <c r="AV14" s="52">
        <v>75.0</v>
      </c>
      <c r="AW14" s="53">
        <v>82.0</v>
      </c>
      <c r="AX14" s="54">
        <v>92.0</v>
      </c>
      <c r="AY14" s="52">
        <v>93.0</v>
      </c>
      <c r="AZ14" s="53">
        <v>97.0</v>
      </c>
      <c r="BA14" s="54">
        <v>62.0</v>
      </c>
      <c r="BB14" s="52">
        <v>61.0</v>
      </c>
      <c r="BC14" s="53">
        <v>94.0</v>
      </c>
      <c r="BD14" s="54">
        <v>77.0</v>
      </c>
      <c r="BE14" s="52">
        <v>95.0</v>
      </c>
      <c r="BF14" s="53">
        <v>84.0</v>
      </c>
      <c r="BG14" s="54">
        <v>85.0</v>
      </c>
      <c r="BH14" s="52">
        <v>99.0</v>
      </c>
      <c r="BI14" s="53">
        <v>67.0</v>
      </c>
      <c r="BJ14" s="54">
        <v>78.0</v>
      </c>
      <c r="BK14" s="52">
        <v>85.0</v>
      </c>
      <c r="BL14" s="53">
        <v>68.0</v>
      </c>
      <c r="BM14" s="54">
        <v>66.0</v>
      </c>
      <c r="BN14" s="52">
        <v>65.0</v>
      </c>
      <c r="BO14" s="53">
        <v>81.0</v>
      </c>
      <c r="BP14" s="54">
        <v>81.0</v>
      </c>
      <c r="BQ14" s="52">
        <v>66.0</v>
      </c>
      <c r="BR14" s="53">
        <v>61.0</v>
      </c>
      <c r="BS14" s="54">
        <v>96.0</v>
      </c>
      <c r="BT14" s="52">
        <v>98.0</v>
      </c>
      <c r="BU14" s="53">
        <v>94.0</v>
      </c>
      <c r="BV14" s="54">
        <v>83.0</v>
      </c>
      <c r="BW14" s="52">
        <v>60.0</v>
      </c>
      <c r="BX14" s="53">
        <v>93.0</v>
      </c>
      <c r="BY14" s="54">
        <v>89.0</v>
      </c>
      <c r="BZ14" s="52">
        <v>68.0</v>
      </c>
      <c r="CA14" s="53">
        <v>94.0</v>
      </c>
      <c r="CB14" s="54">
        <v>89.0</v>
      </c>
      <c r="CC14" s="52">
        <v>82.0</v>
      </c>
      <c r="CD14" s="53">
        <v>82.0</v>
      </c>
      <c r="CE14" s="54">
        <v>69.0</v>
      </c>
      <c r="CF14" s="52">
        <v>87.0</v>
      </c>
      <c r="CG14" s="53">
        <v>95.0</v>
      </c>
      <c r="CH14" s="54">
        <v>72.0</v>
      </c>
    </row>
    <row r="15">
      <c r="A15" s="47" t="s">
        <v>85</v>
      </c>
      <c r="B15" s="2" t="s">
        <v>86</v>
      </c>
      <c r="C15" s="52">
        <v>68.0</v>
      </c>
      <c r="D15" s="53">
        <v>66.0</v>
      </c>
      <c r="E15" s="54">
        <v>83.0</v>
      </c>
      <c r="F15" s="52">
        <v>91.0</v>
      </c>
      <c r="G15" s="53">
        <v>79.0</v>
      </c>
      <c r="H15" s="54">
        <v>81.0</v>
      </c>
      <c r="I15" s="52">
        <v>85.0</v>
      </c>
      <c r="J15" s="53">
        <v>64.0</v>
      </c>
      <c r="K15" s="54">
        <v>82.0</v>
      </c>
      <c r="L15" s="52">
        <v>90.0</v>
      </c>
      <c r="M15" s="53">
        <v>81.0</v>
      </c>
      <c r="N15" s="54">
        <v>67.0</v>
      </c>
      <c r="O15" s="52">
        <v>93.0</v>
      </c>
      <c r="P15" s="53">
        <v>62.0</v>
      </c>
      <c r="Q15" s="54">
        <v>72.0</v>
      </c>
      <c r="R15" s="52">
        <v>68.0</v>
      </c>
      <c r="S15" s="53">
        <v>75.0</v>
      </c>
      <c r="T15" s="54">
        <v>68.0</v>
      </c>
      <c r="U15" s="52">
        <v>63.0</v>
      </c>
      <c r="V15" s="53">
        <v>68.0</v>
      </c>
      <c r="W15" s="54">
        <v>99.0</v>
      </c>
      <c r="X15" s="52">
        <v>66.0</v>
      </c>
      <c r="Y15" s="53">
        <v>63.0</v>
      </c>
      <c r="Z15" s="54">
        <v>72.0</v>
      </c>
      <c r="AA15" s="52">
        <v>93.0</v>
      </c>
      <c r="AB15" s="53">
        <v>96.0</v>
      </c>
      <c r="AC15" s="54">
        <v>95.0</v>
      </c>
      <c r="AD15" s="52">
        <v>67.0</v>
      </c>
      <c r="AE15" s="53">
        <v>61.0</v>
      </c>
      <c r="AF15" s="54">
        <v>91.0</v>
      </c>
      <c r="AG15" s="52">
        <v>68.0</v>
      </c>
      <c r="AH15" s="53">
        <v>74.0</v>
      </c>
      <c r="AI15" s="54">
        <v>65.0</v>
      </c>
      <c r="AJ15" s="52">
        <v>98.0</v>
      </c>
      <c r="AK15" s="53">
        <v>80.0</v>
      </c>
      <c r="AL15" s="54">
        <v>68.0</v>
      </c>
      <c r="AM15" s="52">
        <v>85.0</v>
      </c>
      <c r="AN15" s="53">
        <v>65.0</v>
      </c>
      <c r="AO15" s="54">
        <v>68.0</v>
      </c>
      <c r="AP15" s="52">
        <v>84.0</v>
      </c>
      <c r="AQ15" s="53">
        <v>71.0</v>
      </c>
      <c r="AR15" s="54">
        <v>93.0</v>
      </c>
      <c r="AS15" s="52">
        <v>81.0</v>
      </c>
      <c r="AT15" s="53">
        <v>85.0</v>
      </c>
      <c r="AU15" s="54">
        <v>90.0</v>
      </c>
      <c r="AV15" s="52">
        <v>88.0</v>
      </c>
      <c r="AW15" s="53">
        <v>67.0</v>
      </c>
      <c r="AX15" s="54">
        <v>93.0</v>
      </c>
      <c r="AY15" s="52">
        <v>69.0</v>
      </c>
      <c r="AZ15" s="53">
        <v>85.0</v>
      </c>
      <c r="BA15" s="54">
        <v>61.0</v>
      </c>
      <c r="BB15" s="52">
        <v>74.0</v>
      </c>
      <c r="BC15" s="53">
        <v>65.0</v>
      </c>
      <c r="BD15" s="54">
        <v>88.0</v>
      </c>
      <c r="BE15" s="52">
        <v>65.0</v>
      </c>
      <c r="BF15" s="53">
        <v>90.0</v>
      </c>
      <c r="BG15" s="54">
        <v>96.0</v>
      </c>
      <c r="BH15" s="52">
        <v>69.0</v>
      </c>
      <c r="BI15" s="53">
        <v>85.0</v>
      </c>
      <c r="BJ15" s="54">
        <v>66.0</v>
      </c>
      <c r="BK15" s="52">
        <v>63.0</v>
      </c>
      <c r="BL15" s="53">
        <v>74.0</v>
      </c>
      <c r="BM15" s="54">
        <v>80.0</v>
      </c>
      <c r="BN15" s="52">
        <v>76.0</v>
      </c>
      <c r="BO15" s="53">
        <v>90.0</v>
      </c>
      <c r="BP15" s="54">
        <v>84.0</v>
      </c>
      <c r="BQ15" s="52">
        <v>77.0</v>
      </c>
      <c r="BR15" s="53">
        <v>69.0</v>
      </c>
      <c r="BS15" s="54">
        <v>67.0</v>
      </c>
      <c r="BT15" s="52">
        <v>86.0</v>
      </c>
      <c r="BU15" s="53">
        <v>86.0</v>
      </c>
      <c r="BV15" s="54">
        <v>73.0</v>
      </c>
      <c r="BW15" s="52">
        <v>81.0</v>
      </c>
      <c r="BX15" s="53">
        <v>96.0</v>
      </c>
      <c r="BY15" s="54">
        <v>78.0</v>
      </c>
      <c r="BZ15" s="52">
        <v>74.0</v>
      </c>
      <c r="CA15" s="53">
        <v>96.0</v>
      </c>
      <c r="CB15" s="54">
        <v>70.0</v>
      </c>
      <c r="CC15" s="52">
        <v>99.0</v>
      </c>
      <c r="CD15" s="53">
        <v>80.0</v>
      </c>
      <c r="CE15" s="54">
        <v>81.0</v>
      </c>
      <c r="CF15" s="52">
        <v>80.0</v>
      </c>
      <c r="CG15" s="53">
        <v>95.0</v>
      </c>
      <c r="CH15" s="54">
        <v>74.0</v>
      </c>
    </row>
    <row r="16">
      <c r="A16" s="47" t="s">
        <v>87</v>
      </c>
      <c r="B16" s="2" t="s">
        <v>88</v>
      </c>
      <c r="C16" s="52">
        <v>83.0</v>
      </c>
      <c r="D16" s="53">
        <v>74.0</v>
      </c>
      <c r="E16" s="54">
        <v>86.0</v>
      </c>
      <c r="F16" s="52">
        <v>79.0</v>
      </c>
      <c r="G16" s="53">
        <v>84.0</v>
      </c>
      <c r="H16" s="54">
        <v>86.0</v>
      </c>
      <c r="I16" s="52">
        <v>88.0</v>
      </c>
      <c r="J16" s="53">
        <v>99.0</v>
      </c>
      <c r="K16" s="54">
        <v>61.0</v>
      </c>
      <c r="L16" s="52">
        <v>68.0</v>
      </c>
      <c r="M16" s="53">
        <v>85.0</v>
      </c>
      <c r="N16" s="54">
        <v>72.0</v>
      </c>
      <c r="O16" s="52">
        <v>88.0</v>
      </c>
      <c r="P16" s="53">
        <v>82.0</v>
      </c>
      <c r="Q16" s="54">
        <v>89.0</v>
      </c>
      <c r="R16" s="52">
        <v>63.0</v>
      </c>
      <c r="S16" s="53">
        <v>75.0</v>
      </c>
      <c r="T16" s="54">
        <v>75.0</v>
      </c>
      <c r="U16" s="52">
        <v>94.0</v>
      </c>
      <c r="V16" s="53">
        <v>60.0</v>
      </c>
      <c r="W16" s="54">
        <v>80.0</v>
      </c>
      <c r="X16" s="52">
        <v>78.0</v>
      </c>
      <c r="Y16" s="53">
        <v>66.0</v>
      </c>
      <c r="Z16" s="54">
        <v>62.0</v>
      </c>
      <c r="AA16" s="52">
        <v>93.0</v>
      </c>
      <c r="AB16" s="53">
        <v>96.0</v>
      </c>
      <c r="AC16" s="54">
        <v>71.0</v>
      </c>
      <c r="AD16" s="52">
        <v>85.0</v>
      </c>
      <c r="AE16" s="53">
        <v>83.0</v>
      </c>
      <c r="AF16" s="54">
        <v>69.0</v>
      </c>
      <c r="AG16" s="52">
        <v>70.0</v>
      </c>
      <c r="AH16" s="53">
        <v>86.0</v>
      </c>
      <c r="AI16" s="54">
        <v>78.0</v>
      </c>
      <c r="AJ16" s="52">
        <v>63.0</v>
      </c>
      <c r="AK16" s="53">
        <v>90.0</v>
      </c>
      <c r="AL16" s="54">
        <v>81.0</v>
      </c>
      <c r="AM16" s="52">
        <v>70.0</v>
      </c>
      <c r="AN16" s="53">
        <v>74.0</v>
      </c>
      <c r="AO16" s="54">
        <v>80.0</v>
      </c>
      <c r="AP16" s="52">
        <v>85.0</v>
      </c>
      <c r="AQ16" s="53">
        <v>89.0</v>
      </c>
      <c r="AR16" s="54">
        <v>69.0</v>
      </c>
      <c r="AS16" s="52">
        <v>67.0</v>
      </c>
      <c r="AT16" s="53">
        <v>94.0</v>
      </c>
      <c r="AU16" s="54">
        <v>90.0</v>
      </c>
      <c r="AV16" s="52">
        <v>95.0</v>
      </c>
      <c r="AW16" s="53">
        <v>79.0</v>
      </c>
      <c r="AX16" s="54">
        <v>64.0</v>
      </c>
      <c r="AY16" s="52">
        <v>79.0</v>
      </c>
      <c r="AZ16" s="53">
        <v>62.0</v>
      </c>
      <c r="BA16" s="54">
        <v>82.0</v>
      </c>
      <c r="BB16" s="52">
        <v>96.0</v>
      </c>
      <c r="BC16" s="53">
        <v>91.0</v>
      </c>
      <c r="BD16" s="54">
        <v>83.0</v>
      </c>
      <c r="BE16" s="52">
        <v>77.0</v>
      </c>
      <c r="BF16" s="53">
        <v>77.0</v>
      </c>
      <c r="BG16" s="54">
        <v>60.0</v>
      </c>
      <c r="BH16" s="52">
        <v>71.0</v>
      </c>
      <c r="BI16" s="53">
        <v>69.0</v>
      </c>
      <c r="BJ16" s="54">
        <v>82.0</v>
      </c>
      <c r="BK16" s="52">
        <v>67.0</v>
      </c>
      <c r="BL16" s="53">
        <v>97.0</v>
      </c>
      <c r="BM16" s="54">
        <v>61.0</v>
      </c>
      <c r="BN16" s="52">
        <v>84.0</v>
      </c>
      <c r="BO16" s="53">
        <v>66.0</v>
      </c>
      <c r="BP16" s="54">
        <v>80.0</v>
      </c>
      <c r="BQ16" s="52">
        <v>72.0</v>
      </c>
      <c r="BR16" s="53">
        <v>92.0</v>
      </c>
      <c r="BS16" s="54">
        <v>80.0</v>
      </c>
      <c r="BT16" s="52">
        <v>70.0</v>
      </c>
      <c r="BU16" s="53">
        <v>62.0</v>
      </c>
      <c r="BV16" s="54">
        <v>72.0</v>
      </c>
      <c r="BW16" s="52">
        <v>69.0</v>
      </c>
      <c r="BX16" s="53">
        <v>93.0</v>
      </c>
      <c r="BY16" s="54">
        <v>76.0</v>
      </c>
      <c r="BZ16" s="52">
        <v>78.0</v>
      </c>
      <c r="CA16" s="53">
        <v>92.0</v>
      </c>
      <c r="CB16" s="54">
        <v>63.0</v>
      </c>
      <c r="CC16" s="52">
        <v>95.0</v>
      </c>
      <c r="CD16" s="53">
        <v>74.0</v>
      </c>
      <c r="CE16" s="54">
        <v>92.0</v>
      </c>
      <c r="CF16" s="52">
        <v>73.0</v>
      </c>
      <c r="CG16" s="53">
        <v>73.0</v>
      </c>
      <c r="CH16" s="54">
        <v>76.0</v>
      </c>
    </row>
    <row r="17">
      <c r="A17" s="47" t="s">
        <v>89</v>
      </c>
      <c r="B17" s="2" t="s">
        <v>90</v>
      </c>
      <c r="C17" s="52">
        <v>83.0</v>
      </c>
      <c r="D17" s="53">
        <v>89.0</v>
      </c>
      <c r="E17" s="54">
        <v>85.0</v>
      </c>
      <c r="F17" s="52">
        <v>79.0</v>
      </c>
      <c r="G17" s="53">
        <v>75.0</v>
      </c>
      <c r="H17" s="54">
        <v>84.0</v>
      </c>
      <c r="I17" s="52">
        <v>92.0</v>
      </c>
      <c r="J17" s="53">
        <v>91.0</v>
      </c>
      <c r="K17" s="54">
        <v>64.0</v>
      </c>
      <c r="L17" s="52">
        <v>95.0</v>
      </c>
      <c r="M17" s="53">
        <v>72.0</v>
      </c>
      <c r="N17" s="54">
        <v>95.0</v>
      </c>
      <c r="O17" s="52">
        <v>70.0</v>
      </c>
      <c r="P17" s="53">
        <v>67.0</v>
      </c>
      <c r="Q17" s="54">
        <v>81.0</v>
      </c>
      <c r="R17" s="52">
        <v>70.0</v>
      </c>
      <c r="S17" s="53">
        <v>72.0</v>
      </c>
      <c r="T17" s="54">
        <v>67.0</v>
      </c>
      <c r="U17" s="52">
        <v>75.0</v>
      </c>
      <c r="V17" s="53">
        <v>80.0</v>
      </c>
      <c r="W17" s="54">
        <v>82.0</v>
      </c>
      <c r="X17" s="52">
        <v>97.0</v>
      </c>
      <c r="Y17" s="53">
        <v>96.0</v>
      </c>
      <c r="Z17" s="54">
        <v>63.0</v>
      </c>
      <c r="AA17" s="52">
        <v>60.0</v>
      </c>
      <c r="AB17" s="53">
        <v>77.0</v>
      </c>
      <c r="AC17" s="54">
        <v>90.0</v>
      </c>
      <c r="AD17" s="52">
        <v>73.0</v>
      </c>
      <c r="AE17" s="53">
        <v>63.0</v>
      </c>
      <c r="AF17" s="54">
        <v>75.0</v>
      </c>
      <c r="AG17" s="52">
        <v>61.0</v>
      </c>
      <c r="AH17" s="53">
        <v>83.0</v>
      </c>
      <c r="AI17" s="54">
        <v>70.0</v>
      </c>
      <c r="AJ17" s="52">
        <v>93.0</v>
      </c>
      <c r="AK17" s="53">
        <v>89.0</v>
      </c>
      <c r="AL17" s="54">
        <v>67.0</v>
      </c>
      <c r="AM17" s="52">
        <v>99.0</v>
      </c>
      <c r="AN17" s="53">
        <v>70.0</v>
      </c>
      <c r="AO17" s="54">
        <v>75.0</v>
      </c>
      <c r="AP17" s="52">
        <v>81.0</v>
      </c>
      <c r="AQ17" s="53">
        <v>97.0</v>
      </c>
      <c r="AR17" s="54">
        <v>78.0</v>
      </c>
      <c r="AS17" s="52">
        <v>87.0</v>
      </c>
      <c r="AT17" s="53">
        <v>88.0</v>
      </c>
      <c r="AU17" s="54">
        <v>71.0</v>
      </c>
      <c r="AV17" s="52">
        <v>87.0</v>
      </c>
      <c r="AW17" s="53">
        <v>97.0</v>
      </c>
      <c r="AX17" s="54">
        <v>69.0</v>
      </c>
      <c r="AY17" s="52">
        <v>93.0</v>
      </c>
      <c r="AZ17" s="53">
        <v>87.0</v>
      </c>
      <c r="BA17" s="54">
        <v>95.0</v>
      </c>
      <c r="BB17" s="52">
        <v>67.0</v>
      </c>
      <c r="BC17" s="53">
        <v>64.0</v>
      </c>
      <c r="BD17" s="54">
        <v>99.0</v>
      </c>
      <c r="BE17" s="52">
        <v>64.0</v>
      </c>
      <c r="BF17" s="53">
        <v>77.0</v>
      </c>
      <c r="BG17" s="54">
        <v>66.0</v>
      </c>
      <c r="BH17" s="52">
        <v>77.0</v>
      </c>
      <c r="BI17" s="53">
        <v>82.0</v>
      </c>
      <c r="BJ17" s="54">
        <v>67.0</v>
      </c>
      <c r="BK17" s="52">
        <v>61.0</v>
      </c>
      <c r="BL17" s="53">
        <v>93.0</v>
      </c>
      <c r="BM17" s="54">
        <v>66.0</v>
      </c>
      <c r="BN17" s="52">
        <v>74.0</v>
      </c>
      <c r="BO17" s="53">
        <v>61.0</v>
      </c>
      <c r="BP17" s="54">
        <v>82.0</v>
      </c>
      <c r="BQ17" s="52">
        <v>75.0</v>
      </c>
      <c r="BR17" s="53">
        <v>77.0</v>
      </c>
      <c r="BS17" s="54">
        <v>89.0</v>
      </c>
      <c r="BT17" s="52">
        <v>72.0</v>
      </c>
      <c r="BU17" s="53">
        <v>88.0</v>
      </c>
      <c r="BV17" s="54">
        <v>80.0</v>
      </c>
      <c r="BW17" s="52">
        <v>65.0</v>
      </c>
      <c r="BX17" s="53">
        <v>69.0</v>
      </c>
      <c r="BY17" s="54">
        <v>89.0</v>
      </c>
      <c r="BZ17" s="52">
        <v>85.0</v>
      </c>
      <c r="CA17" s="53">
        <v>62.0</v>
      </c>
      <c r="CB17" s="54">
        <v>66.0</v>
      </c>
      <c r="CC17" s="52">
        <v>78.0</v>
      </c>
      <c r="CD17" s="53">
        <v>98.0</v>
      </c>
      <c r="CE17" s="54">
        <v>60.0</v>
      </c>
      <c r="CF17" s="52">
        <v>96.0</v>
      </c>
      <c r="CG17" s="53">
        <v>73.0</v>
      </c>
      <c r="CH17" s="54">
        <v>74.0</v>
      </c>
    </row>
    <row r="18">
      <c r="A18" s="47" t="s">
        <v>91</v>
      </c>
      <c r="B18" s="2" t="s">
        <v>92</v>
      </c>
      <c r="C18" s="52">
        <v>66.0</v>
      </c>
      <c r="D18" s="53">
        <v>70.0</v>
      </c>
      <c r="E18" s="54">
        <v>81.0</v>
      </c>
      <c r="F18" s="52">
        <v>71.0</v>
      </c>
      <c r="G18" s="53">
        <v>76.0</v>
      </c>
      <c r="H18" s="54">
        <v>84.0</v>
      </c>
      <c r="I18" s="52">
        <v>77.0</v>
      </c>
      <c r="J18" s="53">
        <v>96.0</v>
      </c>
      <c r="K18" s="54">
        <v>64.0</v>
      </c>
      <c r="L18" s="52">
        <v>94.0</v>
      </c>
      <c r="M18" s="53">
        <v>87.0</v>
      </c>
      <c r="N18" s="54">
        <v>84.0</v>
      </c>
      <c r="O18" s="52">
        <v>95.0</v>
      </c>
      <c r="P18" s="53">
        <v>93.0</v>
      </c>
      <c r="Q18" s="54">
        <v>78.0</v>
      </c>
      <c r="R18" s="52">
        <v>60.0</v>
      </c>
      <c r="S18" s="53">
        <v>84.0</v>
      </c>
      <c r="T18" s="54">
        <v>86.0</v>
      </c>
      <c r="U18" s="52">
        <v>93.0</v>
      </c>
      <c r="V18" s="53">
        <v>61.0</v>
      </c>
      <c r="W18" s="54">
        <v>72.0</v>
      </c>
      <c r="X18" s="52">
        <v>74.0</v>
      </c>
      <c r="Y18" s="53">
        <v>89.0</v>
      </c>
      <c r="Z18" s="54">
        <v>80.0</v>
      </c>
      <c r="AA18" s="52">
        <v>61.0</v>
      </c>
      <c r="AB18" s="53">
        <v>68.0</v>
      </c>
      <c r="AC18" s="54">
        <v>98.0</v>
      </c>
      <c r="AD18" s="52">
        <v>79.0</v>
      </c>
      <c r="AE18" s="53">
        <v>62.0</v>
      </c>
      <c r="AF18" s="54">
        <v>91.0</v>
      </c>
      <c r="AG18" s="52">
        <v>93.0</v>
      </c>
      <c r="AH18" s="53">
        <v>90.0</v>
      </c>
      <c r="AI18" s="54">
        <v>80.0</v>
      </c>
      <c r="AJ18" s="52">
        <v>80.0</v>
      </c>
      <c r="AK18" s="53">
        <v>84.0</v>
      </c>
      <c r="AL18" s="54">
        <v>67.0</v>
      </c>
      <c r="AM18" s="52">
        <v>69.0</v>
      </c>
      <c r="AN18" s="53">
        <v>75.0</v>
      </c>
      <c r="AO18" s="54">
        <v>82.0</v>
      </c>
      <c r="AP18" s="52">
        <v>60.0</v>
      </c>
      <c r="AQ18" s="53">
        <v>89.0</v>
      </c>
      <c r="AR18" s="54">
        <v>86.0</v>
      </c>
      <c r="AS18" s="52">
        <v>67.0</v>
      </c>
      <c r="AT18" s="53">
        <v>83.0</v>
      </c>
      <c r="AU18" s="54">
        <v>98.0</v>
      </c>
      <c r="AV18" s="52">
        <v>87.0</v>
      </c>
      <c r="AW18" s="53">
        <v>85.0</v>
      </c>
      <c r="AX18" s="54">
        <v>64.0</v>
      </c>
      <c r="AY18" s="52">
        <v>63.0</v>
      </c>
      <c r="AZ18" s="53">
        <v>64.0</v>
      </c>
      <c r="BA18" s="54">
        <v>83.0</v>
      </c>
      <c r="BB18" s="52">
        <v>65.0</v>
      </c>
      <c r="BC18" s="53">
        <v>90.0</v>
      </c>
      <c r="BD18" s="54">
        <v>67.0</v>
      </c>
      <c r="BE18" s="52">
        <v>88.0</v>
      </c>
      <c r="BF18" s="53">
        <v>87.0</v>
      </c>
      <c r="BG18" s="54">
        <v>62.0</v>
      </c>
      <c r="BH18" s="52">
        <v>90.0</v>
      </c>
      <c r="BI18" s="53">
        <v>86.0</v>
      </c>
      <c r="BJ18" s="54">
        <v>93.0</v>
      </c>
      <c r="BK18" s="52">
        <v>73.0</v>
      </c>
      <c r="BL18" s="53">
        <v>80.0</v>
      </c>
      <c r="BM18" s="54">
        <v>68.0</v>
      </c>
      <c r="BN18" s="52">
        <v>98.0</v>
      </c>
      <c r="BO18" s="53">
        <v>88.0</v>
      </c>
      <c r="BP18" s="54">
        <v>89.0</v>
      </c>
      <c r="BQ18" s="52">
        <v>87.0</v>
      </c>
      <c r="BR18" s="53">
        <v>76.0</v>
      </c>
      <c r="BS18" s="54">
        <v>78.0</v>
      </c>
      <c r="BT18" s="52">
        <v>77.0</v>
      </c>
      <c r="BU18" s="53">
        <v>94.0</v>
      </c>
      <c r="BV18" s="54">
        <v>69.0</v>
      </c>
      <c r="BW18" s="52">
        <v>78.0</v>
      </c>
      <c r="BX18" s="53">
        <v>60.0</v>
      </c>
      <c r="BY18" s="54">
        <v>96.0</v>
      </c>
      <c r="BZ18" s="52">
        <v>92.0</v>
      </c>
      <c r="CA18" s="53">
        <v>95.0</v>
      </c>
      <c r="CB18" s="54">
        <v>73.0</v>
      </c>
      <c r="CC18" s="52">
        <v>76.0</v>
      </c>
      <c r="CD18" s="53">
        <v>98.0</v>
      </c>
      <c r="CE18" s="54">
        <v>89.0</v>
      </c>
      <c r="CF18" s="52">
        <v>97.0</v>
      </c>
      <c r="CG18" s="53">
        <v>60.0</v>
      </c>
      <c r="CH18" s="54">
        <v>72.0</v>
      </c>
    </row>
    <row r="19">
      <c r="A19" s="47" t="s">
        <v>93</v>
      </c>
      <c r="B19" s="2" t="s">
        <v>94</v>
      </c>
      <c r="C19" s="52">
        <v>71.0</v>
      </c>
      <c r="D19" s="53">
        <v>61.0</v>
      </c>
      <c r="E19" s="54">
        <v>86.0</v>
      </c>
      <c r="F19" s="52">
        <v>75.0</v>
      </c>
      <c r="G19" s="53">
        <v>73.0</v>
      </c>
      <c r="H19" s="54">
        <v>77.0</v>
      </c>
      <c r="I19" s="52">
        <v>73.0</v>
      </c>
      <c r="J19" s="53">
        <v>69.0</v>
      </c>
      <c r="K19" s="54">
        <v>78.0</v>
      </c>
      <c r="L19" s="52">
        <v>64.0</v>
      </c>
      <c r="M19" s="53">
        <v>76.0</v>
      </c>
      <c r="N19" s="54">
        <v>79.0</v>
      </c>
      <c r="O19" s="52">
        <v>64.0</v>
      </c>
      <c r="P19" s="53">
        <v>74.0</v>
      </c>
      <c r="Q19" s="54">
        <v>62.0</v>
      </c>
      <c r="R19" s="52">
        <v>62.0</v>
      </c>
      <c r="S19" s="53">
        <v>92.0</v>
      </c>
      <c r="T19" s="54">
        <v>64.0</v>
      </c>
      <c r="U19" s="52">
        <v>90.0</v>
      </c>
      <c r="V19" s="53">
        <v>87.0</v>
      </c>
      <c r="W19" s="54">
        <v>84.0</v>
      </c>
      <c r="X19" s="52">
        <v>67.0</v>
      </c>
      <c r="Y19" s="53">
        <v>80.0</v>
      </c>
      <c r="Z19" s="54">
        <v>97.0</v>
      </c>
      <c r="AA19" s="52">
        <v>84.0</v>
      </c>
      <c r="AB19" s="53">
        <v>77.0</v>
      </c>
      <c r="AC19" s="54">
        <v>71.0</v>
      </c>
      <c r="AD19" s="52">
        <v>82.0</v>
      </c>
      <c r="AE19" s="53">
        <v>65.0</v>
      </c>
      <c r="AF19" s="54">
        <v>77.0</v>
      </c>
      <c r="AG19" s="52">
        <v>76.0</v>
      </c>
      <c r="AH19" s="53">
        <v>67.0</v>
      </c>
      <c r="AI19" s="54">
        <v>67.0</v>
      </c>
      <c r="AJ19" s="52">
        <v>78.0</v>
      </c>
      <c r="AK19" s="53">
        <v>60.0</v>
      </c>
      <c r="AL19" s="54">
        <v>75.0</v>
      </c>
      <c r="AM19" s="52">
        <v>83.0</v>
      </c>
      <c r="AN19" s="53">
        <v>99.0</v>
      </c>
      <c r="AO19" s="54">
        <v>67.0</v>
      </c>
      <c r="AP19" s="52">
        <v>89.0</v>
      </c>
      <c r="AQ19" s="53">
        <v>85.0</v>
      </c>
      <c r="AR19" s="54">
        <v>77.0</v>
      </c>
      <c r="AS19" s="52">
        <v>80.0</v>
      </c>
      <c r="AT19" s="53">
        <v>76.0</v>
      </c>
      <c r="AU19" s="54">
        <v>78.0</v>
      </c>
      <c r="AV19" s="52">
        <v>76.0</v>
      </c>
      <c r="AW19" s="53">
        <v>88.0</v>
      </c>
      <c r="AX19" s="54">
        <v>80.0</v>
      </c>
      <c r="AY19" s="52">
        <v>81.0</v>
      </c>
      <c r="AZ19" s="53">
        <v>67.0</v>
      </c>
      <c r="BA19" s="54">
        <v>76.0</v>
      </c>
      <c r="BB19" s="52">
        <v>66.0</v>
      </c>
      <c r="BC19" s="53">
        <v>66.0</v>
      </c>
      <c r="BD19" s="54">
        <v>67.0</v>
      </c>
      <c r="BE19" s="52">
        <v>88.0</v>
      </c>
      <c r="BF19" s="53">
        <v>96.0</v>
      </c>
      <c r="BG19" s="54">
        <v>70.0</v>
      </c>
      <c r="BH19" s="52">
        <v>83.0</v>
      </c>
      <c r="BI19" s="53">
        <v>64.0</v>
      </c>
      <c r="BJ19" s="54">
        <v>60.0</v>
      </c>
      <c r="BK19" s="52">
        <v>98.0</v>
      </c>
      <c r="BL19" s="53">
        <v>63.0</v>
      </c>
      <c r="BM19" s="54">
        <v>69.0</v>
      </c>
      <c r="BN19" s="52">
        <v>80.0</v>
      </c>
      <c r="BO19" s="53">
        <v>83.0</v>
      </c>
      <c r="BP19" s="54">
        <v>80.0</v>
      </c>
      <c r="BQ19" s="52">
        <v>77.0</v>
      </c>
      <c r="BR19" s="53">
        <v>64.0</v>
      </c>
      <c r="BS19" s="54">
        <v>79.0</v>
      </c>
      <c r="BT19" s="52">
        <v>66.0</v>
      </c>
      <c r="BU19" s="53">
        <v>77.0</v>
      </c>
      <c r="BV19" s="54">
        <v>66.0</v>
      </c>
      <c r="BW19" s="52">
        <v>74.0</v>
      </c>
      <c r="BX19" s="53">
        <v>75.0</v>
      </c>
      <c r="BY19" s="54">
        <v>84.0</v>
      </c>
      <c r="BZ19" s="52">
        <v>66.0</v>
      </c>
      <c r="CA19" s="53">
        <v>89.0</v>
      </c>
      <c r="CB19" s="54">
        <v>70.0</v>
      </c>
      <c r="CC19" s="52">
        <v>89.0</v>
      </c>
      <c r="CD19" s="53">
        <v>61.0</v>
      </c>
      <c r="CE19" s="54">
        <v>72.0</v>
      </c>
      <c r="CF19" s="52">
        <v>95.0</v>
      </c>
      <c r="CG19" s="53">
        <v>99.0</v>
      </c>
      <c r="CH19" s="54">
        <v>86.0</v>
      </c>
    </row>
    <row r="20">
      <c r="A20" s="47" t="s">
        <v>95</v>
      </c>
      <c r="B20" s="2" t="s">
        <v>96</v>
      </c>
      <c r="C20" s="52">
        <v>89.0</v>
      </c>
      <c r="D20" s="53">
        <v>60.0</v>
      </c>
      <c r="E20" s="54">
        <v>75.0</v>
      </c>
      <c r="F20" s="52">
        <v>83.0</v>
      </c>
      <c r="G20" s="53">
        <v>82.0</v>
      </c>
      <c r="H20" s="54">
        <v>70.0</v>
      </c>
      <c r="I20" s="52">
        <v>94.0</v>
      </c>
      <c r="J20" s="53">
        <v>89.0</v>
      </c>
      <c r="K20" s="54">
        <v>76.0</v>
      </c>
      <c r="L20" s="52">
        <v>84.0</v>
      </c>
      <c r="M20" s="53">
        <v>83.0</v>
      </c>
      <c r="N20" s="54">
        <v>82.0</v>
      </c>
      <c r="O20" s="52">
        <v>60.0</v>
      </c>
      <c r="P20" s="53">
        <v>74.0</v>
      </c>
      <c r="Q20" s="54">
        <v>91.0</v>
      </c>
      <c r="R20" s="52">
        <v>84.0</v>
      </c>
      <c r="S20" s="53">
        <v>77.0</v>
      </c>
      <c r="T20" s="54">
        <v>87.0</v>
      </c>
      <c r="U20" s="52">
        <v>96.0</v>
      </c>
      <c r="V20" s="53">
        <v>63.0</v>
      </c>
      <c r="W20" s="54">
        <v>64.0</v>
      </c>
      <c r="X20" s="52">
        <v>69.0</v>
      </c>
      <c r="Y20" s="53">
        <v>72.0</v>
      </c>
      <c r="Z20" s="54">
        <v>74.0</v>
      </c>
      <c r="AA20" s="52">
        <v>62.0</v>
      </c>
      <c r="AB20" s="53">
        <v>74.0</v>
      </c>
      <c r="AC20" s="54">
        <v>81.0</v>
      </c>
      <c r="AD20" s="52">
        <v>90.0</v>
      </c>
      <c r="AE20" s="53">
        <v>77.0</v>
      </c>
      <c r="AF20" s="54">
        <v>62.0</v>
      </c>
      <c r="AG20" s="52">
        <v>75.0</v>
      </c>
      <c r="AH20" s="53">
        <v>68.0</v>
      </c>
      <c r="AI20" s="54">
        <v>97.0</v>
      </c>
      <c r="AJ20" s="52">
        <v>76.0</v>
      </c>
      <c r="AK20" s="53">
        <v>90.0</v>
      </c>
      <c r="AL20" s="54">
        <v>77.0</v>
      </c>
      <c r="AM20" s="52">
        <v>66.0</v>
      </c>
      <c r="AN20" s="53">
        <v>90.0</v>
      </c>
      <c r="AO20" s="54">
        <v>81.0</v>
      </c>
      <c r="AP20" s="52">
        <v>67.0</v>
      </c>
      <c r="AQ20" s="53">
        <v>92.0</v>
      </c>
      <c r="AR20" s="54">
        <v>79.0</v>
      </c>
      <c r="AS20" s="52">
        <v>87.0</v>
      </c>
      <c r="AT20" s="53">
        <v>84.0</v>
      </c>
      <c r="AU20" s="54">
        <v>66.0</v>
      </c>
      <c r="AV20" s="52">
        <v>67.0</v>
      </c>
      <c r="AW20" s="53">
        <v>77.0</v>
      </c>
      <c r="AX20" s="54">
        <v>68.0</v>
      </c>
      <c r="AY20" s="52">
        <v>77.0</v>
      </c>
      <c r="AZ20" s="53">
        <v>80.0</v>
      </c>
      <c r="BA20" s="54">
        <v>97.0</v>
      </c>
      <c r="BB20" s="52">
        <v>69.0</v>
      </c>
      <c r="BC20" s="53">
        <v>84.0</v>
      </c>
      <c r="BD20" s="54">
        <v>74.0</v>
      </c>
      <c r="BE20" s="52">
        <v>63.0</v>
      </c>
      <c r="BF20" s="53">
        <v>69.0</v>
      </c>
      <c r="BG20" s="54">
        <v>98.0</v>
      </c>
      <c r="BH20" s="52">
        <v>76.0</v>
      </c>
      <c r="BI20" s="53">
        <v>97.0</v>
      </c>
      <c r="BJ20" s="54">
        <v>92.0</v>
      </c>
      <c r="BK20" s="52">
        <v>69.0</v>
      </c>
      <c r="BL20" s="53">
        <v>90.0</v>
      </c>
      <c r="BM20" s="54">
        <v>99.0</v>
      </c>
      <c r="BN20" s="52">
        <v>61.0</v>
      </c>
      <c r="BO20" s="53">
        <v>99.0</v>
      </c>
      <c r="BP20" s="54">
        <v>86.0</v>
      </c>
      <c r="BQ20" s="52">
        <v>62.0</v>
      </c>
      <c r="BR20" s="53">
        <v>73.0</v>
      </c>
      <c r="BS20" s="54">
        <v>75.0</v>
      </c>
      <c r="BT20" s="52">
        <v>80.0</v>
      </c>
      <c r="BU20" s="53">
        <v>74.0</v>
      </c>
      <c r="BV20" s="54">
        <v>88.0</v>
      </c>
      <c r="BW20" s="52">
        <v>83.0</v>
      </c>
      <c r="BX20" s="53">
        <v>84.0</v>
      </c>
      <c r="BY20" s="54">
        <v>92.0</v>
      </c>
      <c r="BZ20" s="52">
        <v>88.0</v>
      </c>
      <c r="CA20" s="53">
        <v>95.0</v>
      </c>
      <c r="CB20" s="54">
        <v>71.0</v>
      </c>
      <c r="CC20" s="52">
        <v>86.0</v>
      </c>
      <c r="CD20" s="53">
        <v>62.0</v>
      </c>
      <c r="CE20" s="54">
        <v>72.0</v>
      </c>
      <c r="CF20" s="52">
        <v>73.0</v>
      </c>
      <c r="CG20" s="53">
        <v>81.0</v>
      </c>
      <c r="CH20" s="54">
        <v>64.0</v>
      </c>
    </row>
    <row r="21">
      <c r="A21" s="47" t="s">
        <v>97</v>
      </c>
      <c r="B21" s="2" t="s">
        <v>98</v>
      </c>
      <c r="C21" s="52">
        <v>63.0</v>
      </c>
      <c r="D21" s="53">
        <v>67.0</v>
      </c>
      <c r="E21" s="54">
        <v>67.0</v>
      </c>
      <c r="F21" s="52">
        <v>61.0</v>
      </c>
      <c r="G21" s="53">
        <v>98.0</v>
      </c>
      <c r="H21" s="54">
        <v>81.0</v>
      </c>
      <c r="I21" s="52">
        <v>85.0</v>
      </c>
      <c r="J21" s="53">
        <v>87.0</v>
      </c>
      <c r="K21" s="54">
        <v>87.0</v>
      </c>
      <c r="L21" s="52">
        <v>95.0</v>
      </c>
      <c r="M21" s="53">
        <v>96.0</v>
      </c>
      <c r="N21" s="54">
        <v>89.0</v>
      </c>
      <c r="O21" s="52">
        <v>78.0</v>
      </c>
      <c r="P21" s="53">
        <v>93.0</v>
      </c>
      <c r="Q21" s="54">
        <v>66.0</v>
      </c>
      <c r="R21" s="52">
        <v>63.0</v>
      </c>
      <c r="S21" s="53">
        <v>70.0</v>
      </c>
      <c r="T21" s="54">
        <v>88.0</v>
      </c>
      <c r="U21" s="52">
        <v>67.0</v>
      </c>
      <c r="V21" s="53">
        <v>87.0</v>
      </c>
      <c r="W21" s="54">
        <v>72.0</v>
      </c>
      <c r="X21" s="52">
        <v>73.0</v>
      </c>
      <c r="Y21" s="53">
        <v>70.0</v>
      </c>
      <c r="Z21" s="54">
        <v>91.0</v>
      </c>
      <c r="AA21" s="52">
        <v>83.0</v>
      </c>
      <c r="AB21" s="53">
        <v>77.0</v>
      </c>
      <c r="AC21" s="54">
        <v>77.0</v>
      </c>
      <c r="AD21" s="52">
        <v>63.0</v>
      </c>
      <c r="AE21" s="53">
        <v>68.0</v>
      </c>
      <c r="AF21" s="54">
        <v>77.0</v>
      </c>
      <c r="AG21" s="52">
        <v>89.0</v>
      </c>
      <c r="AH21" s="53">
        <v>90.0</v>
      </c>
      <c r="AI21" s="54">
        <v>97.0</v>
      </c>
      <c r="AJ21" s="52">
        <v>72.0</v>
      </c>
      <c r="AK21" s="53">
        <v>91.0</v>
      </c>
      <c r="AL21" s="54">
        <v>94.0</v>
      </c>
      <c r="AM21" s="52">
        <v>71.0</v>
      </c>
      <c r="AN21" s="53">
        <v>62.0</v>
      </c>
      <c r="AO21" s="54">
        <v>98.0</v>
      </c>
      <c r="AP21" s="52">
        <v>99.0</v>
      </c>
      <c r="AQ21" s="53">
        <v>78.0</v>
      </c>
      <c r="AR21" s="54">
        <v>69.0</v>
      </c>
      <c r="AS21" s="52">
        <v>71.0</v>
      </c>
      <c r="AT21" s="53">
        <v>96.0</v>
      </c>
      <c r="AU21" s="54">
        <v>78.0</v>
      </c>
      <c r="AV21" s="52">
        <v>65.0</v>
      </c>
      <c r="AW21" s="53">
        <v>90.0</v>
      </c>
      <c r="AX21" s="54">
        <v>83.0</v>
      </c>
      <c r="AY21" s="52">
        <v>91.0</v>
      </c>
      <c r="AZ21" s="53">
        <v>99.0</v>
      </c>
      <c r="BA21" s="54">
        <v>68.0</v>
      </c>
      <c r="BB21" s="52">
        <v>96.0</v>
      </c>
      <c r="BC21" s="53">
        <v>62.0</v>
      </c>
      <c r="BD21" s="54">
        <v>85.0</v>
      </c>
      <c r="BE21" s="52">
        <v>95.0</v>
      </c>
      <c r="BF21" s="53">
        <v>92.0</v>
      </c>
      <c r="BG21" s="54">
        <v>86.0</v>
      </c>
      <c r="BH21" s="52">
        <v>80.0</v>
      </c>
      <c r="BI21" s="53">
        <v>77.0</v>
      </c>
      <c r="BJ21" s="54">
        <v>71.0</v>
      </c>
      <c r="BK21" s="52">
        <v>69.0</v>
      </c>
      <c r="BL21" s="53">
        <v>83.0</v>
      </c>
      <c r="BM21" s="54">
        <v>74.0</v>
      </c>
      <c r="BN21" s="52">
        <v>99.0</v>
      </c>
      <c r="BO21" s="53">
        <v>82.0</v>
      </c>
      <c r="BP21" s="54">
        <v>99.0</v>
      </c>
      <c r="BQ21" s="52">
        <v>63.0</v>
      </c>
      <c r="BR21" s="53">
        <v>82.0</v>
      </c>
      <c r="BS21" s="54">
        <v>95.0</v>
      </c>
      <c r="BT21" s="52">
        <v>68.0</v>
      </c>
      <c r="BU21" s="53">
        <v>92.0</v>
      </c>
      <c r="BV21" s="54">
        <v>71.0</v>
      </c>
      <c r="BW21" s="52">
        <v>98.0</v>
      </c>
      <c r="BX21" s="53">
        <v>87.0</v>
      </c>
      <c r="BY21" s="54">
        <v>96.0</v>
      </c>
      <c r="BZ21" s="52">
        <v>99.0</v>
      </c>
      <c r="CA21" s="53">
        <v>93.0</v>
      </c>
      <c r="CB21" s="54">
        <v>81.0</v>
      </c>
      <c r="CC21" s="52">
        <v>79.0</v>
      </c>
      <c r="CD21" s="53">
        <v>92.0</v>
      </c>
      <c r="CE21" s="54">
        <v>71.0</v>
      </c>
      <c r="CF21" s="52">
        <v>85.0</v>
      </c>
      <c r="CG21" s="53">
        <v>95.0</v>
      </c>
      <c r="CH21" s="54">
        <v>65.0</v>
      </c>
    </row>
    <row r="22">
      <c r="A22" s="47" t="s">
        <v>99</v>
      </c>
      <c r="B22" s="2" t="s">
        <v>100</v>
      </c>
      <c r="C22" s="52">
        <v>69.0</v>
      </c>
      <c r="D22" s="53">
        <v>80.0</v>
      </c>
      <c r="E22" s="54">
        <v>79.0</v>
      </c>
      <c r="F22" s="52">
        <v>78.0</v>
      </c>
      <c r="G22" s="53">
        <v>76.0</v>
      </c>
      <c r="H22" s="54">
        <v>73.0</v>
      </c>
      <c r="I22" s="52">
        <v>72.0</v>
      </c>
      <c r="J22" s="53">
        <v>62.0</v>
      </c>
      <c r="K22" s="54">
        <v>76.0</v>
      </c>
      <c r="L22" s="52">
        <v>78.0</v>
      </c>
      <c r="M22" s="53">
        <v>93.0</v>
      </c>
      <c r="N22" s="54">
        <v>84.0</v>
      </c>
      <c r="O22" s="52">
        <v>78.0</v>
      </c>
      <c r="P22" s="53">
        <v>91.0</v>
      </c>
      <c r="Q22" s="54">
        <v>63.0</v>
      </c>
      <c r="R22" s="52">
        <v>64.0</v>
      </c>
      <c r="S22" s="53">
        <v>88.0</v>
      </c>
      <c r="T22" s="54">
        <v>70.0</v>
      </c>
      <c r="U22" s="52">
        <v>97.0</v>
      </c>
      <c r="V22" s="53">
        <v>70.0</v>
      </c>
      <c r="W22" s="54">
        <v>92.0</v>
      </c>
      <c r="X22" s="52">
        <v>92.0</v>
      </c>
      <c r="Y22" s="53">
        <v>64.0</v>
      </c>
      <c r="Z22" s="54">
        <v>71.0</v>
      </c>
      <c r="AA22" s="52">
        <v>93.0</v>
      </c>
      <c r="AB22" s="53">
        <v>88.0</v>
      </c>
      <c r="AC22" s="54">
        <v>82.0</v>
      </c>
      <c r="AD22" s="52">
        <v>83.0</v>
      </c>
      <c r="AE22" s="53">
        <v>68.0</v>
      </c>
      <c r="AF22" s="54">
        <v>87.0</v>
      </c>
      <c r="AG22" s="52">
        <v>66.0</v>
      </c>
      <c r="AH22" s="53">
        <v>63.0</v>
      </c>
      <c r="AI22" s="54">
        <v>69.0</v>
      </c>
      <c r="AJ22" s="52">
        <v>92.0</v>
      </c>
      <c r="AK22" s="53">
        <v>91.0</v>
      </c>
      <c r="AL22" s="54">
        <v>93.0</v>
      </c>
      <c r="AM22" s="52">
        <v>99.0</v>
      </c>
      <c r="AN22" s="53">
        <v>91.0</v>
      </c>
      <c r="AO22" s="54">
        <v>65.0</v>
      </c>
      <c r="AP22" s="52">
        <v>98.0</v>
      </c>
      <c r="AQ22" s="53">
        <v>97.0</v>
      </c>
      <c r="AR22" s="54">
        <v>99.0</v>
      </c>
      <c r="AS22" s="52">
        <v>74.0</v>
      </c>
      <c r="AT22" s="53">
        <v>63.0</v>
      </c>
      <c r="AU22" s="54">
        <v>82.0</v>
      </c>
      <c r="AV22" s="52">
        <v>77.0</v>
      </c>
      <c r="AW22" s="53">
        <v>69.0</v>
      </c>
      <c r="AX22" s="54">
        <v>60.0</v>
      </c>
      <c r="AY22" s="52">
        <v>67.0</v>
      </c>
      <c r="AZ22" s="53">
        <v>92.0</v>
      </c>
      <c r="BA22" s="54">
        <v>71.0</v>
      </c>
      <c r="BB22" s="52">
        <v>67.0</v>
      </c>
      <c r="BC22" s="53">
        <v>81.0</v>
      </c>
      <c r="BD22" s="54">
        <v>77.0</v>
      </c>
      <c r="BE22" s="52">
        <v>96.0</v>
      </c>
      <c r="BF22" s="53">
        <v>74.0</v>
      </c>
      <c r="BG22" s="54">
        <v>97.0</v>
      </c>
      <c r="BH22" s="52">
        <v>65.0</v>
      </c>
      <c r="BI22" s="53">
        <v>80.0</v>
      </c>
      <c r="BJ22" s="54">
        <v>97.0</v>
      </c>
      <c r="BK22" s="52">
        <v>68.0</v>
      </c>
      <c r="BL22" s="53">
        <v>88.0</v>
      </c>
      <c r="BM22" s="54">
        <v>90.0</v>
      </c>
      <c r="BN22" s="52">
        <v>81.0</v>
      </c>
      <c r="BO22" s="53">
        <v>88.0</v>
      </c>
      <c r="BP22" s="54">
        <v>62.0</v>
      </c>
      <c r="BQ22" s="52">
        <v>77.0</v>
      </c>
      <c r="BR22" s="53">
        <v>80.0</v>
      </c>
      <c r="BS22" s="54">
        <v>87.0</v>
      </c>
      <c r="BT22" s="52">
        <v>69.0</v>
      </c>
      <c r="BU22" s="53">
        <v>67.0</v>
      </c>
      <c r="BV22" s="54">
        <v>85.0</v>
      </c>
      <c r="BW22" s="52">
        <v>81.0</v>
      </c>
      <c r="BX22" s="53">
        <v>72.0</v>
      </c>
      <c r="BY22" s="54">
        <v>72.0</v>
      </c>
      <c r="BZ22" s="52">
        <v>74.0</v>
      </c>
      <c r="CA22" s="53">
        <v>96.0</v>
      </c>
      <c r="CB22" s="54">
        <v>67.0</v>
      </c>
      <c r="CC22" s="52">
        <v>83.0</v>
      </c>
      <c r="CD22" s="53">
        <v>63.0</v>
      </c>
      <c r="CE22" s="54">
        <v>61.0</v>
      </c>
      <c r="CF22" s="52">
        <v>77.0</v>
      </c>
      <c r="CG22" s="53">
        <v>92.0</v>
      </c>
      <c r="CH22" s="54">
        <v>81.0</v>
      </c>
    </row>
    <row r="23">
      <c r="A23" s="47" t="s">
        <v>101</v>
      </c>
      <c r="B23" s="2" t="s">
        <v>102</v>
      </c>
      <c r="C23" s="52">
        <v>76.0</v>
      </c>
      <c r="D23" s="53">
        <v>90.0</v>
      </c>
      <c r="E23" s="54">
        <v>72.0</v>
      </c>
      <c r="F23" s="52">
        <v>79.0</v>
      </c>
      <c r="G23" s="53">
        <v>94.0</v>
      </c>
      <c r="H23" s="54">
        <v>81.0</v>
      </c>
      <c r="I23" s="52">
        <v>70.0</v>
      </c>
      <c r="J23" s="53">
        <v>81.0</v>
      </c>
      <c r="K23" s="54">
        <v>68.0</v>
      </c>
      <c r="L23" s="52">
        <v>75.0</v>
      </c>
      <c r="M23" s="53">
        <v>65.0</v>
      </c>
      <c r="N23" s="54">
        <v>87.0</v>
      </c>
      <c r="O23" s="52">
        <v>97.0</v>
      </c>
      <c r="P23" s="53">
        <v>93.0</v>
      </c>
      <c r="Q23" s="54">
        <v>77.0</v>
      </c>
      <c r="R23" s="52">
        <v>91.0</v>
      </c>
      <c r="S23" s="53">
        <v>83.0</v>
      </c>
      <c r="T23" s="54">
        <v>61.0</v>
      </c>
      <c r="U23" s="52">
        <v>95.0</v>
      </c>
      <c r="V23" s="53">
        <v>60.0</v>
      </c>
      <c r="W23" s="54">
        <v>70.0</v>
      </c>
      <c r="X23" s="52">
        <v>84.0</v>
      </c>
      <c r="Y23" s="53">
        <v>97.0</v>
      </c>
      <c r="Z23" s="54">
        <v>99.0</v>
      </c>
      <c r="AA23" s="52">
        <v>80.0</v>
      </c>
      <c r="AB23" s="53">
        <v>61.0</v>
      </c>
      <c r="AC23" s="54">
        <v>63.0</v>
      </c>
      <c r="AD23" s="52">
        <v>81.0</v>
      </c>
      <c r="AE23" s="53">
        <v>69.0</v>
      </c>
      <c r="AF23" s="54">
        <v>78.0</v>
      </c>
      <c r="AG23" s="52">
        <v>77.0</v>
      </c>
      <c r="AH23" s="53">
        <v>94.0</v>
      </c>
      <c r="AI23" s="54">
        <v>86.0</v>
      </c>
      <c r="AJ23" s="52">
        <v>84.0</v>
      </c>
      <c r="AK23" s="53">
        <v>61.0</v>
      </c>
      <c r="AL23" s="54">
        <v>82.0</v>
      </c>
      <c r="AM23" s="52">
        <v>97.0</v>
      </c>
      <c r="AN23" s="53">
        <v>77.0</v>
      </c>
      <c r="AO23" s="54">
        <v>73.0</v>
      </c>
      <c r="AP23" s="52">
        <v>75.0</v>
      </c>
      <c r="AQ23" s="53">
        <v>97.0</v>
      </c>
      <c r="AR23" s="54">
        <v>90.0</v>
      </c>
      <c r="AS23" s="52">
        <v>64.0</v>
      </c>
      <c r="AT23" s="53">
        <v>88.0</v>
      </c>
      <c r="AU23" s="54">
        <v>77.0</v>
      </c>
      <c r="AV23" s="52">
        <v>60.0</v>
      </c>
      <c r="AW23" s="53">
        <v>85.0</v>
      </c>
      <c r="AX23" s="54">
        <v>72.0</v>
      </c>
      <c r="AY23" s="52">
        <v>68.0</v>
      </c>
      <c r="AZ23" s="53">
        <v>79.0</v>
      </c>
      <c r="BA23" s="54">
        <v>65.0</v>
      </c>
      <c r="BB23" s="52">
        <v>87.0</v>
      </c>
      <c r="BC23" s="53">
        <v>74.0</v>
      </c>
      <c r="BD23" s="54">
        <v>81.0</v>
      </c>
      <c r="BE23" s="52">
        <v>66.0</v>
      </c>
      <c r="BF23" s="53">
        <v>76.0</v>
      </c>
      <c r="BG23" s="54">
        <v>71.0</v>
      </c>
      <c r="BH23" s="52">
        <v>80.0</v>
      </c>
      <c r="BI23" s="53">
        <v>62.0</v>
      </c>
      <c r="BJ23" s="54">
        <v>64.0</v>
      </c>
      <c r="BK23" s="52">
        <v>73.0</v>
      </c>
      <c r="BL23" s="53">
        <v>63.0</v>
      </c>
      <c r="BM23" s="54">
        <v>67.0</v>
      </c>
      <c r="BN23" s="52">
        <v>61.0</v>
      </c>
      <c r="BO23" s="53">
        <v>98.0</v>
      </c>
      <c r="BP23" s="54">
        <v>91.0</v>
      </c>
      <c r="BQ23" s="52">
        <v>70.0</v>
      </c>
      <c r="BR23" s="53">
        <v>64.0</v>
      </c>
      <c r="BS23" s="54">
        <v>86.0</v>
      </c>
      <c r="BT23" s="52">
        <v>68.0</v>
      </c>
      <c r="BU23" s="53">
        <v>76.0</v>
      </c>
      <c r="BV23" s="54">
        <v>94.0</v>
      </c>
      <c r="BW23" s="52">
        <v>88.0</v>
      </c>
      <c r="BX23" s="53">
        <v>73.0</v>
      </c>
      <c r="BY23" s="54">
        <v>69.0</v>
      </c>
      <c r="BZ23" s="52">
        <v>92.0</v>
      </c>
      <c r="CA23" s="53">
        <v>95.0</v>
      </c>
      <c r="CB23" s="54">
        <v>85.0</v>
      </c>
      <c r="CC23" s="52">
        <v>87.0</v>
      </c>
      <c r="CD23" s="53">
        <v>92.0</v>
      </c>
      <c r="CE23" s="54">
        <v>89.0</v>
      </c>
      <c r="CF23" s="52">
        <v>96.0</v>
      </c>
      <c r="CG23" s="53">
        <v>90.0</v>
      </c>
      <c r="CH23" s="54">
        <v>89.0</v>
      </c>
    </row>
    <row r="24">
      <c r="A24" s="47" t="s">
        <v>103</v>
      </c>
      <c r="B24" s="2" t="s">
        <v>104</v>
      </c>
      <c r="C24" s="52">
        <v>83.0</v>
      </c>
      <c r="D24" s="53">
        <v>87.0</v>
      </c>
      <c r="E24" s="54">
        <v>94.0</v>
      </c>
      <c r="F24" s="52">
        <v>88.0</v>
      </c>
      <c r="G24" s="53">
        <v>86.0</v>
      </c>
      <c r="H24" s="54">
        <v>85.0</v>
      </c>
      <c r="I24" s="52">
        <v>66.0</v>
      </c>
      <c r="J24" s="53">
        <v>86.0</v>
      </c>
      <c r="K24" s="54">
        <v>96.0</v>
      </c>
      <c r="L24" s="52">
        <v>86.0</v>
      </c>
      <c r="M24" s="53">
        <v>90.0</v>
      </c>
      <c r="N24" s="54">
        <v>84.0</v>
      </c>
      <c r="O24" s="52">
        <v>98.0</v>
      </c>
      <c r="P24" s="53">
        <v>97.0</v>
      </c>
      <c r="Q24" s="54">
        <v>94.0</v>
      </c>
      <c r="R24" s="52">
        <v>86.0</v>
      </c>
      <c r="S24" s="53">
        <v>82.0</v>
      </c>
      <c r="T24" s="54">
        <v>62.0</v>
      </c>
      <c r="U24" s="52">
        <v>63.0</v>
      </c>
      <c r="V24" s="53">
        <v>92.0</v>
      </c>
      <c r="W24" s="54">
        <v>76.0</v>
      </c>
      <c r="X24" s="52">
        <v>95.0</v>
      </c>
      <c r="Y24" s="53">
        <v>70.0</v>
      </c>
      <c r="Z24" s="54">
        <v>67.0</v>
      </c>
      <c r="AA24" s="52">
        <v>67.0</v>
      </c>
      <c r="AB24" s="53">
        <v>93.0</v>
      </c>
      <c r="AC24" s="54">
        <v>99.0</v>
      </c>
      <c r="AD24" s="52">
        <v>64.0</v>
      </c>
      <c r="AE24" s="53">
        <v>63.0</v>
      </c>
      <c r="AF24" s="54">
        <v>62.0</v>
      </c>
      <c r="AG24" s="52">
        <v>69.0</v>
      </c>
      <c r="AH24" s="53">
        <v>79.0</v>
      </c>
      <c r="AI24" s="54">
        <v>78.0</v>
      </c>
      <c r="AJ24" s="52">
        <v>71.0</v>
      </c>
      <c r="AK24" s="53">
        <v>67.0</v>
      </c>
      <c r="AL24" s="54">
        <v>68.0</v>
      </c>
      <c r="AM24" s="52">
        <v>60.0</v>
      </c>
      <c r="AN24" s="53">
        <v>99.0</v>
      </c>
      <c r="AO24" s="54">
        <v>71.0</v>
      </c>
      <c r="AP24" s="52">
        <v>94.0</v>
      </c>
      <c r="AQ24" s="53">
        <v>73.0</v>
      </c>
      <c r="AR24" s="54">
        <v>75.0</v>
      </c>
      <c r="AS24" s="52">
        <v>67.0</v>
      </c>
      <c r="AT24" s="53">
        <v>82.0</v>
      </c>
      <c r="AU24" s="54">
        <v>73.0</v>
      </c>
      <c r="AV24" s="52">
        <v>80.0</v>
      </c>
      <c r="AW24" s="53">
        <v>88.0</v>
      </c>
      <c r="AX24" s="54">
        <v>71.0</v>
      </c>
      <c r="AY24" s="52">
        <v>69.0</v>
      </c>
      <c r="AZ24" s="53">
        <v>83.0</v>
      </c>
      <c r="BA24" s="54">
        <v>60.0</v>
      </c>
      <c r="BB24" s="52">
        <v>67.0</v>
      </c>
      <c r="BC24" s="53">
        <v>86.0</v>
      </c>
      <c r="BD24" s="54">
        <v>97.0</v>
      </c>
      <c r="BE24" s="52">
        <v>84.0</v>
      </c>
      <c r="BF24" s="53">
        <v>80.0</v>
      </c>
      <c r="BG24" s="54">
        <v>99.0</v>
      </c>
      <c r="BH24" s="52">
        <v>60.0</v>
      </c>
      <c r="BI24" s="53">
        <v>67.0</v>
      </c>
      <c r="BJ24" s="54">
        <v>76.0</v>
      </c>
      <c r="BK24" s="52">
        <v>86.0</v>
      </c>
      <c r="BL24" s="53">
        <v>84.0</v>
      </c>
      <c r="BM24" s="54">
        <v>90.0</v>
      </c>
      <c r="BN24" s="52">
        <v>97.0</v>
      </c>
      <c r="BO24" s="53">
        <v>68.0</v>
      </c>
      <c r="BP24" s="54">
        <v>72.0</v>
      </c>
      <c r="BQ24" s="52">
        <v>70.0</v>
      </c>
      <c r="BR24" s="53">
        <v>94.0</v>
      </c>
      <c r="BS24" s="54">
        <v>82.0</v>
      </c>
      <c r="BT24" s="52">
        <v>67.0</v>
      </c>
      <c r="BU24" s="53">
        <v>60.0</v>
      </c>
      <c r="BV24" s="54">
        <v>71.0</v>
      </c>
      <c r="BW24" s="52">
        <v>95.0</v>
      </c>
      <c r="BX24" s="53">
        <v>60.0</v>
      </c>
      <c r="BY24" s="54">
        <v>93.0</v>
      </c>
      <c r="BZ24" s="52">
        <v>60.0</v>
      </c>
      <c r="CA24" s="53">
        <v>94.0</v>
      </c>
      <c r="CB24" s="54">
        <v>99.0</v>
      </c>
      <c r="CC24" s="52">
        <v>73.0</v>
      </c>
      <c r="CD24" s="53">
        <v>74.0</v>
      </c>
      <c r="CE24" s="54">
        <v>85.0</v>
      </c>
      <c r="CF24" s="52">
        <v>68.0</v>
      </c>
      <c r="CG24" s="53">
        <v>60.0</v>
      </c>
      <c r="CH24" s="54">
        <v>86.0</v>
      </c>
    </row>
    <row r="25">
      <c r="A25" s="47" t="s">
        <v>105</v>
      </c>
      <c r="B25" s="2" t="s">
        <v>106</v>
      </c>
      <c r="C25" s="52">
        <v>71.0</v>
      </c>
      <c r="D25" s="53">
        <v>66.0</v>
      </c>
      <c r="E25" s="54">
        <v>83.0</v>
      </c>
      <c r="F25" s="52">
        <v>81.0</v>
      </c>
      <c r="G25" s="53">
        <v>68.0</v>
      </c>
      <c r="H25" s="54">
        <v>72.0</v>
      </c>
      <c r="I25" s="52">
        <v>85.0</v>
      </c>
      <c r="J25" s="53">
        <v>97.0</v>
      </c>
      <c r="K25" s="54">
        <v>99.0</v>
      </c>
      <c r="L25" s="52">
        <v>68.0</v>
      </c>
      <c r="M25" s="53">
        <v>76.0</v>
      </c>
      <c r="N25" s="54">
        <v>98.0</v>
      </c>
      <c r="O25" s="52">
        <v>80.0</v>
      </c>
      <c r="P25" s="53">
        <v>90.0</v>
      </c>
      <c r="Q25" s="54">
        <v>60.0</v>
      </c>
      <c r="R25" s="52">
        <v>74.0</v>
      </c>
      <c r="S25" s="53">
        <v>80.0</v>
      </c>
      <c r="T25" s="54">
        <v>85.0</v>
      </c>
      <c r="U25" s="52">
        <v>62.0</v>
      </c>
      <c r="V25" s="53">
        <v>81.0</v>
      </c>
      <c r="W25" s="54">
        <v>93.0</v>
      </c>
      <c r="X25" s="52">
        <v>98.0</v>
      </c>
      <c r="Y25" s="53">
        <v>81.0</v>
      </c>
      <c r="Z25" s="54">
        <v>83.0</v>
      </c>
      <c r="AA25" s="52">
        <v>95.0</v>
      </c>
      <c r="AB25" s="53">
        <v>75.0</v>
      </c>
      <c r="AC25" s="54">
        <v>90.0</v>
      </c>
      <c r="AD25" s="52">
        <v>91.0</v>
      </c>
      <c r="AE25" s="53">
        <v>90.0</v>
      </c>
      <c r="AF25" s="54">
        <v>71.0</v>
      </c>
      <c r="AG25" s="52">
        <v>86.0</v>
      </c>
      <c r="AH25" s="53">
        <v>86.0</v>
      </c>
      <c r="AI25" s="54">
        <v>67.0</v>
      </c>
      <c r="AJ25" s="52">
        <v>74.0</v>
      </c>
      <c r="AK25" s="53">
        <v>72.0</v>
      </c>
      <c r="AL25" s="54">
        <v>97.0</v>
      </c>
      <c r="AM25" s="52">
        <v>96.0</v>
      </c>
      <c r="AN25" s="53">
        <v>73.0</v>
      </c>
      <c r="AO25" s="54">
        <v>72.0</v>
      </c>
      <c r="AP25" s="52">
        <v>81.0</v>
      </c>
      <c r="AQ25" s="53">
        <v>96.0</v>
      </c>
      <c r="AR25" s="54">
        <v>75.0</v>
      </c>
      <c r="AS25" s="52">
        <v>87.0</v>
      </c>
      <c r="AT25" s="53">
        <v>67.0</v>
      </c>
      <c r="AU25" s="54">
        <v>92.0</v>
      </c>
      <c r="AV25" s="52">
        <v>63.0</v>
      </c>
      <c r="AW25" s="53">
        <v>77.0</v>
      </c>
      <c r="AX25" s="54">
        <v>93.0</v>
      </c>
      <c r="AY25" s="52">
        <v>73.0</v>
      </c>
      <c r="AZ25" s="53">
        <v>71.0</v>
      </c>
      <c r="BA25" s="54">
        <v>65.0</v>
      </c>
      <c r="BB25" s="52">
        <v>96.0</v>
      </c>
      <c r="BC25" s="53">
        <v>66.0</v>
      </c>
      <c r="BD25" s="54">
        <v>90.0</v>
      </c>
      <c r="BE25" s="52">
        <v>66.0</v>
      </c>
      <c r="BF25" s="53">
        <v>90.0</v>
      </c>
      <c r="BG25" s="54">
        <v>99.0</v>
      </c>
      <c r="BH25" s="52">
        <v>97.0</v>
      </c>
      <c r="BI25" s="53">
        <v>87.0</v>
      </c>
      <c r="BJ25" s="54">
        <v>64.0</v>
      </c>
      <c r="BK25" s="52">
        <v>75.0</v>
      </c>
      <c r="BL25" s="53">
        <v>65.0</v>
      </c>
      <c r="BM25" s="54">
        <v>66.0</v>
      </c>
      <c r="BN25" s="52">
        <v>81.0</v>
      </c>
      <c r="BO25" s="53">
        <v>66.0</v>
      </c>
      <c r="BP25" s="54">
        <v>69.0</v>
      </c>
      <c r="BQ25" s="52">
        <v>73.0</v>
      </c>
      <c r="BR25" s="53">
        <v>78.0</v>
      </c>
      <c r="BS25" s="54">
        <v>83.0</v>
      </c>
      <c r="BT25" s="52">
        <v>62.0</v>
      </c>
      <c r="BU25" s="53">
        <v>96.0</v>
      </c>
      <c r="BV25" s="54">
        <v>96.0</v>
      </c>
      <c r="BW25" s="52">
        <v>88.0</v>
      </c>
      <c r="BX25" s="53">
        <v>64.0</v>
      </c>
      <c r="BY25" s="54">
        <v>72.0</v>
      </c>
      <c r="BZ25" s="52">
        <v>92.0</v>
      </c>
      <c r="CA25" s="53">
        <v>89.0</v>
      </c>
      <c r="CB25" s="54">
        <v>61.0</v>
      </c>
      <c r="CC25" s="52">
        <v>95.0</v>
      </c>
      <c r="CD25" s="53">
        <v>89.0</v>
      </c>
      <c r="CE25" s="54">
        <v>80.0</v>
      </c>
      <c r="CF25" s="52">
        <v>61.0</v>
      </c>
      <c r="CG25" s="53">
        <v>60.0</v>
      </c>
      <c r="CH25" s="54">
        <v>60.0</v>
      </c>
    </row>
    <row r="26">
      <c r="A26" s="47" t="s">
        <v>107</v>
      </c>
      <c r="B26" s="2" t="s">
        <v>108</v>
      </c>
      <c r="C26" s="52">
        <v>63.0</v>
      </c>
      <c r="D26" s="53">
        <v>77.0</v>
      </c>
      <c r="E26" s="54">
        <v>71.0</v>
      </c>
      <c r="F26" s="52">
        <v>78.0</v>
      </c>
      <c r="G26" s="53">
        <v>94.0</v>
      </c>
      <c r="H26" s="54">
        <v>65.0</v>
      </c>
      <c r="I26" s="52">
        <v>91.0</v>
      </c>
      <c r="J26" s="53">
        <v>69.0</v>
      </c>
      <c r="K26" s="54">
        <v>65.0</v>
      </c>
      <c r="L26" s="52">
        <v>78.0</v>
      </c>
      <c r="M26" s="53">
        <v>70.0</v>
      </c>
      <c r="N26" s="54">
        <v>61.0</v>
      </c>
      <c r="O26" s="52">
        <v>67.0</v>
      </c>
      <c r="P26" s="53">
        <v>65.0</v>
      </c>
      <c r="Q26" s="54">
        <v>68.0</v>
      </c>
      <c r="R26" s="52">
        <v>73.0</v>
      </c>
      <c r="S26" s="53">
        <v>73.0</v>
      </c>
      <c r="T26" s="54">
        <v>65.0</v>
      </c>
      <c r="U26" s="52">
        <v>62.0</v>
      </c>
      <c r="V26" s="53">
        <v>90.0</v>
      </c>
      <c r="W26" s="54">
        <v>92.0</v>
      </c>
      <c r="X26" s="52">
        <v>70.0</v>
      </c>
      <c r="Y26" s="53">
        <v>62.0</v>
      </c>
      <c r="Z26" s="54">
        <v>95.0</v>
      </c>
      <c r="AA26" s="52">
        <v>91.0</v>
      </c>
      <c r="AB26" s="53">
        <v>88.0</v>
      </c>
      <c r="AC26" s="54">
        <v>91.0</v>
      </c>
      <c r="AD26" s="52">
        <v>94.0</v>
      </c>
      <c r="AE26" s="53">
        <v>69.0</v>
      </c>
      <c r="AF26" s="54">
        <v>96.0</v>
      </c>
      <c r="AG26" s="52">
        <v>92.0</v>
      </c>
      <c r="AH26" s="53">
        <v>93.0</v>
      </c>
      <c r="AI26" s="54">
        <v>74.0</v>
      </c>
      <c r="AJ26" s="52">
        <v>81.0</v>
      </c>
      <c r="AK26" s="53">
        <v>64.0</v>
      </c>
      <c r="AL26" s="54">
        <v>62.0</v>
      </c>
      <c r="AM26" s="52">
        <v>82.0</v>
      </c>
      <c r="AN26" s="53">
        <v>60.0</v>
      </c>
      <c r="AO26" s="54">
        <v>74.0</v>
      </c>
      <c r="AP26" s="52">
        <v>68.0</v>
      </c>
      <c r="AQ26" s="53">
        <v>96.0</v>
      </c>
      <c r="AR26" s="54">
        <v>60.0</v>
      </c>
      <c r="AS26" s="52">
        <v>81.0</v>
      </c>
      <c r="AT26" s="53">
        <v>64.0</v>
      </c>
      <c r="AU26" s="54">
        <v>60.0</v>
      </c>
      <c r="AV26" s="52">
        <v>63.0</v>
      </c>
      <c r="AW26" s="53">
        <v>81.0</v>
      </c>
      <c r="AX26" s="54">
        <v>96.0</v>
      </c>
      <c r="AY26" s="52">
        <v>87.0</v>
      </c>
      <c r="AZ26" s="53">
        <v>68.0</v>
      </c>
      <c r="BA26" s="54">
        <v>66.0</v>
      </c>
      <c r="BB26" s="52">
        <v>75.0</v>
      </c>
      <c r="BC26" s="53">
        <v>79.0</v>
      </c>
      <c r="BD26" s="54">
        <v>83.0</v>
      </c>
      <c r="BE26" s="52">
        <v>69.0</v>
      </c>
      <c r="BF26" s="53">
        <v>87.0</v>
      </c>
      <c r="BG26" s="54">
        <v>72.0</v>
      </c>
      <c r="BH26" s="52">
        <v>89.0</v>
      </c>
      <c r="BI26" s="53">
        <v>83.0</v>
      </c>
      <c r="BJ26" s="54">
        <v>90.0</v>
      </c>
      <c r="BK26" s="52">
        <v>83.0</v>
      </c>
      <c r="BL26" s="53">
        <v>98.0</v>
      </c>
      <c r="BM26" s="54">
        <v>83.0</v>
      </c>
      <c r="BN26" s="52">
        <v>99.0</v>
      </c>
      <c r="BO26" s="53">
        <v>69.0</v>
      </c>
      <c r="BP26" s="54">
        <v>64.0</v>
      </c>
      <c r="BQ26" s="52">
        <v>91.0</v>
      </c>
      <c r="BR26" s="53">
        <v>78.0</v>
      </c>
      <c r="BS26" s="54">
        <v>92.0</v>
      </c>
      <c r="BT26" s="52">
        <v>80.0</v>
      </c>
      <c r="BU26" s="53">
        <v>70.0</v>
      </c>
      <c r="BV26" s="54">
        <v>69.0</v>
      </c>
      <c r="BW26" s="52">
        <v>71.0</v>
      </c>
      <c r="BX26" s="53">
        <v>76.0</v>
      </c>
      <c r="BY26" s="54">
        <v>60.0</v>
      </c>
      <c r="BZ26" s="52">
        <v>92.0</v>
      </c>
      <c r="CA26" s="53">
        <v>86.0</v>
      </c>
      <c r="CB26" s="54">
        <v>61.0</v>
      </c>
      <c r="CC26" s="52">
        <v>61.0</v>
      </c>
      <c r="CD26" s="53">
        <v>78.0</v>
      </c>
      <c r="CE26" s="54">
        <v>76.0</v>
      </c>
      <c r="CF26" s="52">
        <v>92.0</v>
      </c>
      <c r="CG26" s="53">
        <v>98.0</v>
      </c>
      <c r="CH26" s="54">
        <v>77.0</v>
      </c>
    </row>
    <row r="27">
      <c r="A27" s="47" t="s">
        <v>109</v>
      </c>
      <c r="B27" s="2" t="s">
        <v>110</v>
      </c>
      <c r="C27" s="52">
        <v>94.0</v>
      </c>
      <c r="D27" s="53">
        <v>88.0</v>
      </c>
      <c r="E27" s="54">
        <v>99.0</v>
      </c>
      <c r="F27" s="52">
        <v>77.0</v>
      </c>
      <c r="G27" s="53">
        <v>87.0</v>
      </c>
      <c r="H27" s="54">
        <v>91.0</v>
      </c>
      <c r="I27" s="52">
        <v>91.0</v>
      </c>
      <c r="J27" s="53">
        <v>70.0</v>
      </c>
      <c r="K27" s="54">
        <v>95.0</v>
      </c>
      <c r="L27" s="52">
        <v>61.0</v>
      </c>
      <c r="M27" s="53">
        <v>62.0</v>
      </c>
      <c r="N27" s="54">
        <v>68.0</v>
      </c>
      <c r="O27" s="52">
        <v>68.0</v>
      </c>
      <c r="P27" s="53">
        <v>61.0</v>
      </c>
      <c r="Q27" s="54">
        <v>91.0</v>
      </c>
      <c r="R27" s="52">
        <v>85.0</v>
      </c>
      <c r="S27" s="53">
        <v>91.0</v>
      </c>
      <c r="T27" s="54">
        <v>74.0</v>
      </c>
      <c r="U27" s="52">
        <v>95.0</v>
      </c>
      <c r="V27" s="53">
        <v>62.0</v>
      </c>
      <c r="W27" s="54">
        <v>80.0</v>
      </c>
      <c r="X27" s="52">
        <v>77.0</v>
      </c>
      <c r="Y27" s="53">
        <v>93.0</v>
      </c>
      <c r="Z27" s="54">
        <v>79.0</v>
      </c>
      <c r="AA27" s="52">
        <v>86.0</v>
      </c>
      <c r="AB27" s="53">
        <v>81.0</v>
      </c>
      <c r="AC27" s="54">
        <v>99.0</v>
      </c>
      <c r="AD27" s="52">
        <v>73.0</v>
      </c>
      <c r="AE27" s="53">
        <v>84.0</v>
      </c>
      <c r="AF27" s="54">
        <v>63.0</v>
      </c>
      <c r="AG27" s="52">
        <v>92.0</v>
      </c>
      <c r="AH27" s="53">
        <v>61.0</v>
      </c>
      <c r="AI27" s="54">
        <v>73.0</v>
      </c>
      <c r="AJ27" s="52">
        <v>85.0</v>
      </c>
      <c r="AK27" s="53">
        <v>65.0</v>
      </c>
      <c r="AL27" s="54">
        <v>71.0</v>
      </c>
      <c r="AM27" s="52">
        <v>90.0</v>
      </c>
      <c r="AN27" s="53">
        <v>80.0</v>
      </c>
      <c r="AO27" s="54">
        <v>76.0</v>
      </c>
      <c r="AP27" s="52">
        <v>77.0</v>
      </c>
      <c r="AQ27" s="53">
        <v>74.0</v>
      </c>
      <c r="AR27" s="54">
        <v>61.0</v>
      </c>
      <c r="AS27" s="52">
        <v>93.0</v>
      </c>
      <c r="AT27" s="53">
        <v>66.0</v>
      </c>
      <c r="AU27" s="54">
        <v>87.0</v>
      </c>
      <c r="AV27" s="52">
        <v>85.0</v>
      </c>
      <c r="AW27" s="53">
        <v>85.0</v>
      </c>
      <c r="AX27" s="54">
        <v>63.0</v>
      </c>
      <c r="AY27" s="52">
        <v>99.0</v>
      </c>
      <c r="AZ27" s="53">
        <v>98.0</v>
      </c>
      <c r="BA27" s="54">
        <v>87.0</v>
      </c>
      <c r="BB27" s="52">
        <v>80.0</v>
      </c>
      <c r="BC27" s="53">
        <v>81.0</v>
      </c>
      <c r="BD27" s="54">
        <v>68.0</v>
      </c>
      <c r="BE27" s="52">
        <v>74.0</v>
      </c>
      <c r="BF27" s="53">
        <v>75.0</v>
      </c>
      <c r="BG27" s="54">
        <v>63.0</v>
      </c>
      <c r="BH27" s="52">
        <v>78.0</v>
      </c>
      <c r="BI27" s="53">
        <v>61.0</v>
      </c>
      <c r="BJ27" s="54">
        <v>78.0</v>
      </c>
      <c r="BK27" s="52">
        <v>68.0</v>
      </c>
      <c r="BL27" s="53">
        <v>70.0</v>
      </c>
      <c r="BM27" s="54">
        <v>97.0</v>
      </c>
      <c r="BN27" s="52">
        <v>97.0</v>
      </c>
      <c r="BO27" s="53">
        <v>62.0</v>
      </c>
      <c r="BP27" s="54">
        <v>69.0</v>
      </c>
      <c r="BQ27" s="52">
        <v>65.0</v>
      </c>
      <c r="BR27" s="53">
        <v>78.0</v>
      </c>
      <c r="BS27" s="54">
        <v>84.0</v>
      </c>
      <c r="BT27" s="52">
        <v>72.0</v>
      </c>
      <c r="BU27" s="53">
        <v>89.0</v>
      </c>
      <c r="BV27" s="54">
        <v>83.0</v>
      </c>
      <c r="BW27" s="52">
        <v>94.0</v>
      </c>
      <c r="BX27" s="53">
        <v>71.0</v>
      </c>
      <c r="BY27" s="54">
        <v>81.0</v>
      </c>
      <c r="BZ27" s="52">
        <v>73.0</v>
      </c>
      <c r="CA27" s="53">
        <v>98.0</v>
      </c>
      <c r="CB27" s="54">
        <v>81.0</v>
      </c>
      <c r="CC27" s="52">
        <v>96.0</v>
      </c>
      <c r="CD27" s="53">
        <v>98.0</v>
      </c>
      <c r="CE27" s="54">
        <v>73.0</v>
      </c>
      <c r="CF27" s="52">
        <v>86.0</v>
      </c>
      <c r="CG27" s="53">
        <v>88.0</v>
      </c>
      <c r="CH27" s="54">
        <v>70.0</v>
      </c>
    </row>
    <row r="28">
      <c r="A28" s="47" t="s">
        <v>111</v>
      </c>
      <c r="B28" s="2" t="s">
        <v>112</v>
      </c>
      <c r="C28" s="52">
        <v>69.0</v>
      </c>
      <c r="D28" s="53">
        <v>64.0</v>
      </c>
      <c r="E28" s="54">
        <v>76.0</v>
      </c>
      <c r="F28" s="52">
        <v>70.0</v>
      </c>
      <c r="G28" s="53">
        <v>66.0</v>
      </c>
      <c r="H28" s="54">
        <v>61.0</v>
      </c>
      <c r="I28" s="52">
        <v>60.0</v>
      </c>
      <c r="J28" s="53">
        <v>92.0</v>
      </c>
      <c r="K28" s="54">
        <v>79.0</v>
      </c>
      <c r="L28" s="52">
        <v>93.0</v>
      </c>
      <c r="M28" s="53">
        <v>63.0</v>
      </c>
      <c r="N28" s="54">
        <v>64.0</v>
      </c>
      <c r="O28" s="52">
        <v>86.0</v>
      </c>
      <c r="P28" s="53">
        <v>69.0</v>
      </c>
      <c r="Q28" s="54">
        <v>74.0</v>
      </c>
      <c r="R28" s="52">
        <v>85.0</v>
      </c>
      <c r="S28" s="53">
        <v>76.0</v>
      </c>
      <c r="T28" s="54">
        <v>94.0</v>
      </c>
      <c r="U28" s="52">
        <v>60.0</v>
      </c>
      <c r="V28" s="53">
        <v>85.0</v>
      </c>
      <c r="W28" s="54">
        <v>63.0</v>
      </c>
      <c r="X28" s="52">
        <v>72.0</v>
      </c>
      <c r="Y28" s="53">
        <v>80.0</v>
      </c>
      <c r="Z28" s="54">
        <v>75.0</v>
      </c>
      <c r="AA28" s="52">
        <v>82.0</v>
      </c>
      <c r="AB28" s="53">
        <v>86.0</v>
      </c>
      <c r="AC28" s="54">
        <v>79.0</v>
      </c>
      <c r="AD28" s="52">
        <v>64.0</v>
      </c>
      <c r="AE28" s="53">
        <v>90.0</v>
      </c>
      <c r="AF28" s="54">
        <v>69.0</v>
      </c>
      <c r="AG28" s="52">
        <v>81.0</v>
      </c>
      <c r="AH28" s="53">
        <v>60.0</v>
      </c>
      <c r="AI28" s="54">
        <v>66.0</v>
      </c>
      <c r="AJ28" s="52">
        <v>77.0</v>
      </c>
      <c r="AK28" s="53">
        <v>93.0</v>
      </c>
      <c r="AL28" s="54">
        <v>73.0</v>
      </c>
      <c r="AM28" s="52">
        <v>96.0</v>
      </c>
      <c r="AN28" s="53">
        <v>69.0</v>
      </c>
      <c r="AO28" s="54">
        <v>66.0</v>
      </c>
      <c r="AP28" s="52">
        <v>72.0</v>
      </c>
      <c r="AQ28" s="53">
        <v>62.0</v>
      </c>
      <c r="AR28" s="54">
        <v>82.0</v>
      </c>
      <c r="AS28" s="52">
        <v>72.0</v>
      </c>
      <c r="AT28" s="53">
        <v>84.0</v>
      </c>
      <c r="AU28" s="54">
        <v>76.0</v>
      </c>
      <c r="AV28" s="52">
        <v>66.0</v>
      </c>
      <c r="AW28" s="53">
        <v>82.0</v>
      </c>
      <c r="AX28" s="54">
        <v>93.0</v>
      </c>
      <c r="AY28" s="52">
        <v>85.0</v>
      </c>
      <c r="AZ28" s="53">
        <v>76.0</v>
      </c>
      <c r="BA28" s="54">
        <v>93.0</v>
      </c>
      <c r="BB28" s="52">
        <v>88.0</v>
      </c>
      <c r="BC28" s="53">
        <v>97.0</v>
      </c>
      <c r="BD28" s="54">
        <v>84.0</v>
      </c>
      <c r="BE28" s="52">
        <v>78.0</v>
      </c>
      <c r="BF28" s="53">
        <v>84.0</v>
      </c>
      <c r="BG28" s="54">
        <v>86.0</v>
      </c>
      <c r="BH28" s="52">
        <v>87.0</v>
      </c>
      <c r="BI28" s="53">
        <v>95.0</v>
      </c>
      <c r="BJ28" s="54">
        <v>78.0</v>
      </c>
      <c r="BK28" s="52">
        <v>88.0</v>
      </c>
      <c r="BL28" s="53">
        <v>86.0</v>
      </c>
      <c r="BM28" s="54">
        <v>72.0</v>
      </c>
      <c r="BN28" s="52">
        <v>90.0</v>
      </c>
      <c r="BO28" s="53">
        <v>65.0</v>
      </c>
      <c r="BP28" s="54">
        <v>84.0</v>
      </c>
      <c r="BQ28" s="52">
        <v>67.0</v>
      </c>
      <c r="BR28" s="53">
        <v>84.0</v>
      </c>
      <c r="BS28" s="54">
        <v>66.0</v>
      </c>
      <c r="BT28" s="52">
        <v>69.0</v>
      </c>
      <c r="BU28" s="53">
        <v>81.0</v>
      </c>
      <c r="BV28" s="54">
        <v>63.0</v>
      </c>
      <c r="BW28" s="52">
        <v>97.0</v>
      </c>
      <c r="BX28" s="53">
        <v>65.0</v>
      </c>
      <c r="BY28" s="54">
        <v>63.0</v>
      </c>
      <c r="BZ28" s="52">
        <v>79.0</v>
      </c>
      <c r="CA28" s="53">
        <v>78.0</v>
      </c>
      <c r="CB28" s="54">
        <v>95.0</v>
      </c>
      <c r="CC28" s="52">
        <v>86.0</v>
      </c>
      <c r="CD28" s="53">
        <v>64.0</v>
      </c>
      <c r="CE28" s="54">
        <v>86.0</v>
      </c>
      <c r="CF28" s="52">
        <v>89.0</v>
      </c>
      <c r="CG28" s="53">
        <v>74.0</v>
      </c>
      <c r="CH28" s="54">
        <v>62.0</v>
      </c>
    </row>
    <row r="29">
      <c r="A29" s="47" t="s">
        <v>113</v>
      </c>
      <c r="B29" s="2" t="s">
        <v>114</v>
      </c>
      <c r="C29" s="52">
        <v>61.0</v>
      </c>
      <c r="D29" s="53">
        <v>60.0</v>
      </c>
      <c r="E29" s="54">
        <v>90.0</v>
      </c>
      <c r="F29" s="52">
        <v>90.0</v>
      </c>
      <c r="G29" s="53">
        <v>60.0</v>
      </c>
      <c r="H29" s="54">
        <v>80.0</v>
      </c>
      <c r="I29" s="52">
        <v>63.0</v>
      </c>
      <c r="J29" s="53">
        <v>90.0</v>
      </c>
      <c r="K29" s="54">
        <v>63.0</v>
      </c>
      <c r="L29" s="52">
        <v>61.0</v>
      </c>
      <c r="M29" s="53">
        <v>67.0</v>
      </c>
      <c r="N29" s="54">
        <v>70.0</v>
      </c>
      <c r="O29" s="52">
        <v>85.0</v>
      </c>
      <c r="P29" s="53">
        <v>87.0</v>
      </c>
      <c r="Q29" s="54">
        <v>96.0</v>
      </c>
      <c r="R29" s="52">
        <v>73.0</v>
      </c>
      <c r="S29" s="53">
        <v>93.0</v>
      </c>
      <c r="T29" s="54">
        <v>71.0</v>
      </c>
      <c r="U29" s="52">
        <v>89.0</v>
      </c>
      <c r="V29" s="53">
        <v>87.0</v>
      </c>
      <c r="W29" s="54">
        <v>99.0</v>
      </c>
      <c r="X29" s="52">
        <v>83.0</v>
      </c>
      <c r="Y29" s="53">
        <v>85.0</v>
      </c>
      <c r="Z29" s="54">
        <v>67.0</v>
      </c>
      <c r="AA29" s="52">
        <v>73.0</v>
      </c>
      <c r="AB29" s="53">
        <v>65.0</v>
      </c>
      <c r="AC29" s="54">
        <v>87.0</v>
      </c>
      <c r="AD29" s="52">
        <v>99.0</v>
      </c>
      <c r="AE29" s="53">
        <v>69.0</v>
      </c>
      <c r="AF29" s="54">
        <v>60.0</v>
      </c>
      <c r="AG29" s="52">
        <v>61.0</v>
      </c>
      <c r="AH29" s="53">
        <v>62.0</v>
      </c>
      <c r="AI29" s="54">
        <v>84.0</v>
      </c>
      <c r="AJ29" s="52">
        <v>98.0</v>
      </c>
      <c r="AK29" s="53">
        <v>79.0</v>
      </c>
      <c r="AL29" s="54">
        <v>97.0</v>
      </c>
      <c r="AM29" s="52">
        <v>90.0</v>
      </c>
      <c r="AN29" s="53">
        <v>66.0</v>
      </c>
      <c r="AO29" s="54">
        <v>79.0</v>
      </c>
      <c r="AP29" s="52">
        <v>79.0</v>
      </c>
      <c r="AQ29" s="53">
        <v>82.0</v>
      </c>
      <c r="AR29" s="54">
        <v>97.0</v>
      </c>
      <c r="AS29" s="52">
        <v>96.0</v>
      </c>
      <c r="AT29" s="53">
        <v>61.0</v>
      </c>
      <c r="AU29" s="54">
        <v>90.0</v>
      </c>
      <c r="AV29" s="52">
        <v>94.0</v>
      </c>
      <c r="AW29" s="53">
        <v>79.0</v>
      </c>
      <c r="AX29" s="54">
        <v>85.0</v>
      </c>
      <c r="AY29" s="52">
        <v>74.0</v>
      </c>
      <c r="AZ29" s="53">
        <v>88.0</v>
      </c>
      <c r="BA29" s="54">
        <v>92.0</v>
      </c>
      <c r="BB29" s="52">
        <v>95.0</v>
      </c>
      <c r="BC29" s="53">
        <v>79.0</v>
      </c>
      <c r="BD29" s="54">
        <v>89.0</v>
      </c>
      <c r="BE29" s="52">
        <v>81.0</v>
      </c>
      <c r="BF29" s="53">
        <v>96.0</v>
      </c>
      <c r="BG29" s="54">
        <v>93.0</v>
      </c>
      <c r="BH29" s="52">
        <v>74.0</v>
      </c>
      <c r="BI29" s="53">
        <v>62.0</v>
      </c>
      <c r="BJ29" s="54">
        <v>87.0</v>
      </c>
      <c r="BK29" s="52">
        <v>83.0</v>
      </c>
      <c r="BL29" s="53">
        <v>67.0</v>
      </c>
      <c r="BM29" s="54">
        <v>81.0</v>
      </c>
      <c r="BN29" s="52">
        <v>85.0</v>
      </c>
      <c r="BO29" s="53">
        <v>89.0</v>
      </c>
      <c r="BP29" s="54">
        <v>68.0</v>
      </c>
      <c r="BQ29" s="52">
        <v>67.0</v>
      </c>
      <c r="BR29" s="53">
        <v>97.0</v>
      </c>
      <c r="BS29" s="54">
        <v>91.0</v>
      </c>
      <c r="BT29" s="52">
        <v>92.0</v>
      </c>
      <c r="BU29" s="53">
        <v>62.0</v>
      </c>
      <c r="BV29" s="54">
        <v>97.0</v>
      </c>
      <c r="BW29" s="52">
        <v>91.0</v>
      </c>
      <c r="BX29" s="53">
        <v>90.0</v>
      </c>
      <c r="BY29" s="54">
        <v>88.0</v>
      </c>
      <c r="BZ29" s="52">
        <v>70.0</v>
      </c>
      <c r="CA29" s="53">
        <v>65.0</v>
      </c>
      <c r="CB29" s="54">
        <v>77.0</v>
      </c>
      <c r="CC29" s="52">
        <v>62.0</v>
      </c>
      <c r="CD29" s="53">
        <v>83.0</v>
      </c>
      <c r="CE29" s="54">
        <v>76.0</v>
      </c>
      <c r="CF29" s="52">
        <v>69.0</v>
      </c>
      <c r="CG29" s="53">
        <v>79.0</v>
      </c>
      <c r="CH29" s="54">
        <v>74.0</v>
      </c>
    </row>
    <row r="30">
      <c r="A30" s="47" t="s">
        <v>115</v>
      </c>
      <c r="B30" s="2" t="s">
        <v>116</v>
      </c>
      <c r="C30" s="52">
        <v>65.0</v>
      </c>
      <c r="D30" s="53">
        <v>90.0</v>
      </c>
      <c r="E30" s="54">
        <v>83.0</v>
      </c>
      <c r="F30" s="52">
        <v>87.0</v>
      </c>
      <c r="G30" s="53">
        <v>60.0</v>
      </c>
      <c r="H30" s="54">
        <v>95.0</v>
      </c>
      <c r="I30" s="52">
        <v>66.0</v>
      </c>
      <c r="J30" s="53">
        <v>98.0</v>
      </c>
      <c r="K30" s="54">
        <v>83.0</v>
      </c>
      <c r="L30" s="52">
        <v>77.0</v>
      </c>
      <c r="M30" s="53">
        <v>94.0</v>
      </c>
      <c r="N30" s="54">
        <v>90.0</v>
      </c>
      <c r="O30" s="52">
        <v>79.0</v>
      </c>
      <c r="P30" s="53">
        <v>94.0</v>
      </c>
      <c r="Q30" s="54">
        <v>83.0</v>
      </c>
      <c r="R30" s="52">
        <v>87.0</v>
      </c>
      <c r="S30" s="53">
        <v>71.0</v>
      </c>
      <c r="T30" s="54">
        <v>68.0</v>
      </c>
      <c r="U30" s="52">
        <v>95.0</v>
      </c>
      <c r="V30" s="53">
        <v>87.0</v>
      </c>
      <c r="W30" s="54">
        <v>69.0</v>
      </c>
      <c r="X30" s="52">
        <v>82.0</v>
      </c>
      <c r="Y30" s="53">
        <v>78.0</v>
      </c>
      <c r="Z30" s="54">
        <v>70.0</v>
      </c>
      <c r="AA30" s="52">
        <v>80.0</v>
      </c>
      <c r="AB30" s="53">
        <v>97.0</v>
      </c>
      <c r="AC30" s="54">
        <v>64.0</v>
      </c>
      <c r="AD30" s="52">
        <v>73.0</v>
      </c>
      <c r="AE30" s="53">
        <v>94.0</v>
      </c>
      <c r="AF30" s="54">
        <v>82.0</v>
      </c>
      <c r="AG30" s="52">
        <v>81.0</v>
      </c>
      <c r="AH30" s="53">
        <v>60.0</v>
      </c>
      <c r="AI30" s="54">
        <v>60.0</v>
      </c>
      <c r="AJ30" s="52">
        <v>70.0</v>
      </c>
      <c r="AK30" s="53">
        <v>92.0</v>
      </c>
      <c r="AL30" s="54">
        <v>64.0</v>
      </c>
      <c r="AM30" s="52">
        <v>76.0</v>
      </c>
      <c r="AN30" s="53">
        <v>69.0</v>
      </c>
      <c r="AO30" s="54">
        <v>94.0</v>
      </c>
      <c r="AP30" s="52">
        <v>99.0</v>
      </c>
      <c r="AQ30" s="53">
        <v>67.0</v>
      </c>
      <c r="AR30" s="54">
        <v>60.0</v>
      </c>
      <c r="AS30" s="52">
        <v>91.0</v>
      </c>
      <c r="AT30" s="53">
        <v>77.0</v>
      </c>
      <c r="AU30" s="54">
        <v>85.0</v>
      </c>
      <c r="AV30" s="52">
        <v>75.0</v>
      </c>
      <c r="AW30" s="53">
        <v>87.0</v>
      </c>
      <c r="AX30" s="54">
        <v>63.0</v>
      </c>
      <c r="AY30" s="52">
        <v>78.0</v>
      </c>
      <c r="AZ30" s="53">
        <v>65.0</v>
      </c>
      <c r="BA30" s="54">
        <v>94.0</v>
      </c>
      <c r="BB30" s="52">
        <v>70.0</v>
      </c>
      <c r="BC30" s="53">
        <v>61.0</v>
      </c>
      <c r="BD30" s="54">
        <v>61.0</v>
      </c>
      <c r="BE30" s="52">
        <v>96.0</v>
      </c>
      <c r="BF30" s="53">
        <v>94.0</v>
      </c>
      <c r="BG30" s="54">
        <v>98.0</v>
      </c>
      <c r="BH30" s="52">
        <v>80.0</v>
      </c>
      <c r="BI30" s="53">
        <v>82.0</v>
      </c>
      <c r="BJ30" s="54">
        <v>88.0</v>
      </c>
      <c r="BK30" s="52">
        <v>67.0</v>
      </c>
      <c r="BL30" s="53">
        <v>63.0</v>
      </c>
      <c r="BM30" s="54">
        <v>79.0</v>
      </c>
      <c r="BN30" s="52">
        <v>68.0</v>
      </c>
      <c r="BO30" s="53">
        <v>66.0</v>
      </c>
      <c r="BP30" s="54">
        <v>80.0</v>
      </c>
      <c r="BQ30" s="52">
        <v>96.0</v>
      </c>
      <c r="BR30" s="53">
        <v>92.0</v>
      </c>
      <c r="BS30" s="54">
        <v>90.0</v>
      </c>
      <c r="BT30" s="52">
        <v>92.0</v>
      </c>
      <c r="BU30" s="53">
        <v>91.0</v>
      </c>
      <c r="BV30" s="54">
        <v>82.0</v>
      </c>
      <c r="BW30" s="52">
        <v>65.0</v>
      </c>
      <c r="BX30" s="53">
        <v>66.0</v>
      </c>
      <c r="BY30" s="54">
        <v>78.0</v>
      </c>
      <c r="BZ30" s="52">
        <v>89.0</v>
      </c>
      <c r="CA30" s="53">
        <v>82.0</v>
      </c>
      <c r="CB30" s="54">
        <v>67.0</v>
      </c>
      <c r="CC30" s="52">
        <v>61.0</v>
      </c>
      <c r="CD30" s="53">
        <v>96.0</v>
      </c>
      <c r="CE30" s="54">
        <v>81.0</v>
      </c>
      <c r="CF30" s="52">
        <v>76.0</v>
      </c>
      <c r="CG30" s="53">
        <v>84.0</v>
      </c>
      <c r="CH30" s="54">
        <v>61.0</v>
      </c>
    </row>
    <row r="31">
      <c r="A31" s="47" t="s">
        <v>117</v>
      </c>
      <c r="B31" s="2" t="s">
        <v>118</v>
      </c>
      <c r="C31" s="52">
        <v>65.0</v>
      </c>
      <c r="D31" s="53">
        <v>88.0</v>
      </c>
      <c r="E31" s="54">
        <v>79.0</v>
      </c>
      <c r="F31" s="52">
        <v>77.0</v>
      </c>
      <c r="G31" s="53">
        <v>64.0</v>
      </c>
      <c r="H31" s="54">
        <v>85.0</v>
      </c>
      <c r="I31" s="52">
        <v>60.0</v>
      </c>
      <c r="J31" s="53">
        <v>94.0</v>
      </c>
      <c r="K31" s="54">
        <v>86.0</v>
      </c>
      <c r="L31" s="52">
        <v>63.0</v>
      </c>
      <c r="M31" s="53">
        <v>82.0</v>
      </c>
      <c r="N31" s="54">
        <v>79.0</v>
      </c>
      <c r="O31" s="52">
        <v>61.0</v>
      </c>
      <c r="P31" s="53">
        <v>92.0</v>
      </c>
      <c r="Q31" s="54">
        <v>91.0</v>
      </c>
      <c r="R31" s="52">
        <v>96.0</v>
      </c>
      <c r="S31" s="53">
        <v>84.0</v>
      </c>
      <c r="T31" s="54">
        <v>86.0</v>
      </c>
      <c r="U31" s="52">
        <v>74.0</v>
      </c>
      <c r="V31" s="53">
        <v>83.0</v>
      </c>
      <c r="W31" s="54">
        <v>96.0</v>
      </c>
      <c r="X31" s="52">
        <v>79.0</v>
      </c>
      <c r="Y31" s="53">
        <v>73.0</v>
      </c>
      <c r="Z31" s="54">
        <v>62.0</v>
      </c>
      <c r="AA31" s="52">
        <v>71.0</v>
      </c>
      <c r="AB31" s="53">
        <v>66.0</v>
      </c>
      <c r="AC31" s="54">
        <v>74.0</v>
      </c>
      <c r="AD31" s="52">
        <v>67.0</v>
      </c>
      <c r="AE31" s="53">
        <v>99.0</v>
      </c>
      <c r="AF31" s="54">
        <v>89.0</v>
      </c>
      <c r="AG31" s="52">
        <v>89.0</v>
      </c>
      <c r="AH31" s="53">
        <v>73.0</v>
      </c>
      <c r="AI31" s="54">
        <v>90.0</v>
      </c>
      <c r="AJ31" s="52">
        <v>79.0</v>
      </c>
      <c r="AK31" s="53">
        <v>63.0</v>
      </c>
      <c r="AL31" s="54">
        <v>91.0</v>
      </c>
      <c r="AM31" s="52">
        <v>93.0</v>
      </c>
      <c r="AN31" s="53">
        <v>95.0</v>
      </c>
      <c r="AO31" s="54">
        <v>74.0</v>
      </c>
      <c r="AP31" s="52">
        <v>66.0</v>
      </c>
      <c r="AQ31" s="53">
        <v>73.0</v>
      </c>
      <c r="AR31" s="54">
        <v>94.0</v>
      </c>
      <c r="AS31" s="52">
        <v>96.0</v>
      </c>
      <c r="AT31" s="53">
        <v>76.0</v>
      </c>
      <c r="AU31" s="54">
        <v>83.0</v>
      </c>
      <c r="AV31" s="52">
        <v>67.0</v>
      </c>
      <c r="AW31" s="53">
        <v>74.0</v>
      </c>
      <c r="AX31" s="54">
        <v>96.0</v>
      </c>
      <c r="AY31" s="52">
        <v>81.0</v>
      </c>
      <c r="AZ31" s="53">
        <v>88.0</v>
      </c>
      <c r="BA31" s="54">
        <v>76.0</v>
      </c>
      <c r="BB31" s="52">
        <v>85.0</v>
      </c>
      <c r="BC31" s="53">
        <v>95.0</v>
      </c>
      <c r="BD31" s="54">
        <v>74.0</v>
      </c>
      <c r="BE31" s="52">
        <v>74.0</v>
      </c>
      <c r="BF31" s="53">
        <v>96.0</v>
      </c>
      <c r="BG31" s="54">
        <v>94.0</v>
      </c>
      <c r="BH31" s="52">
        <v>88.0</v>
      </c>
      <c r="BI31" s="53">
        <v>72.0</v>
      </c>
      <c r="BJ31" s="54">
        <v>82.0</v>
      </c>
      <c r="BK31" s="52">
        <v>66.0</v>
      </c>
      <c r="BL31" s="53">
        <v>71.0</v>
      </c>
      <c r="BM31" s="54">
        <v>71.0</v>
      </c>
      <c r="BN31" s="52">
        <v>99.0</v>
      </c>
      <c r="BO31" s="53">
        <v>62.0</v>
      </c>
      <c r="BP31" s="54">
        <v>73.0</v>
      </c>
      <c r="BQ31" s="52">
        <v>66.0</v>
      </c>
      <c r="BR31" s="53">
        <v>82.0</v>
      </c>
      <c r="BS31" s="54">
        <v>98.0</v>
      </c>
      <c r="BT31" s="52">
        <v>67.0</v>
      </c>
      <c r="BU31" s="53">
        <v>77.0</v>
      </c>
      <c r="BV31" s="54">
        <v>84.0</v>
      </c>
      <c r="BW31" s="52">
        <v>97.0</v>
      </c>
      <c r="BX31" s="53">
        <v>77.0</v>
      </c>
      <c r="BY31" s="54">
        <v>97.0</v>
      </c>
      <c r="BZ31" s="52">
        <v>88.0</v>
      </c>
      <c r="CA31" s="53">
        <v>70.0</v>
      </c>
      <c r="CB31" s="54">
        <v>80.0</v>
      </c>
      <c r="CC31" s="52">
        <v>90.0</v>
      </c>
      <c r="CD31" s="53">
        <v>81.0</v>
      </c>
      <c r="CE31" s="54">
        <v>71.0</v>
      </c>
      <c r="CF31" s="52">
        <v>60.0</v>
      </c>
      <c r="CG31" s="53">
        <v>96.0</v>
      </c>
      <c r="CH31" s="54">
        <v>62.0</v>
      </c>
    </row>
    <row r="32">
      <c r="A32" s="47" t="s">
        <v>120</v>
      </c>
      <c r="B32" s="2" t="s">
        <v>121</v>
      </c>
      <c r="C32" s="52">
        <v>95.0</v>
      </c>
      <c r="D32" s="53">
        <v>94.0</v>
      </c>
      <c r="E32" s="54">
        <v>72.0</v>
      </c>
      <c r="F32" s="52">
        <v>84.0</v>
      </c>
      <c r="G32" s="53">
        <v>96.0</v>
      </c>
      <c r="H32" s="54">
        <v>96.0</v>
      </c>
      <c r="I32" s="52">
        <v>79.0</v>
      </c>
      <c r="J32" s="53">
        <v>66.0</v>
      </c>
      <c r="K32" s="54">
        <v>98.0</v>
      </c>
      <c r="L32" s="52">
        <v>64.0</v>
      </c>
      <c r="M32" s="53">
        <v>80.0</v>
      </c>
      <c r="N32" s="54">
        <v>93.0</v>
      </c>
      <c r="O32" s="52">
        <v>62.0</v>
      </c>
      <c r="P32" s="53">
        <v>72.0</v>
      </c>
      <c r="Q32" s="54">
        <v>65.0</v>
      </c>
      <c r="R32" s="52">
        <v>92.0</v>
      </c>
      <c r="S32" s="53">
        <v>76.0</v>
      </c>
      <c r="T32" s="54">
        <v>68.0</v>
      </c>
      <c r="U32" s="52">
        <v>65.0</v>
      </c>
      <c r="V32" s="53">
        <v>66.0</v>
      </c>
      <c r="W32" s="54">
        <v>61.0</v>
      </c>
      <c r="X32" s="52">
        <v>70.0</v>
      </c>
      <c r="Y32" s="53">
        <v>62.0</v>
      </c>
      <c r="Z32" s="54">
        <v>86.0</v>
      </c>
      <c r="AA32" s="52">
        <v>74.0</v>
      </c>
      <c r="AB32" s="53">
        <v>80.0</v>
      </c>
      <c r="AC32" s="54">
        <v>81.0</v>
      </c>
      <c r="AD32" s="52">
        <v>69.0</v>
      </c>
      <c r="AE32" s="53">
        <v>73.0</v>
      </c>
      <c r="AF32" s="54">
        <v>76.0</v>
      </c>
      <c r="AG32" s="52">
        <v>94.0</v>
      </c>
      <c r="AH32" s="53">
        <v>61.0</v>
      </c>
      <c r="AI32" s="54">
        <v>91.0</v>
      </c>
      <c r="AJ32" s="52">
        <v>85.0</v>
      </c>
      <c r="AK32" s="53">
        <v>79.0</v>
      </c>
      <c r="AL32" s="54">
        <v>76.0</v>
      </c>
      <c r="AM32" s="52">
        <v>83.0</v>
      </c>
      <c r="AN32" s="53">
        <v>94.0</v>
      </c>
      <c r="AO32" s="54">
        <v>94.0</v>
      </c>
      <c r="AP32" s="52">
        <v>81.0</v>
      </c>
      <c r="AQ32" s="53">
        <v>93.0</v>
      </c>
      <c r="AR32" s="54">
        <v>60.0</v>
      </c>
      <c r="AS32" s="52">
        <v>88.0</v>
      </c>
      <c r="AT32" s="53">
        <v>89.0</v>
      </c>
      <c r="AU32" s="54">
        <v>88.0</v>
      </c>
      <c r="AV32" s="52">
        <v>91.0</v>
      </c>
      <c r="AW32" s="53">
        <v>99.0</v>
      </c>
      <c r="AX32" s="54">
        <v>90.0</v>
      </c>
      <c r="AY32" s="52">
        <v>81.0</v>
      </c>
      <c r="AZ32" s="53">
        <v>96.0</v>
      </c>
      <c r="BA32" s="54">
        <v>85.0</v>
      </c>
      <c r="BB32" s="52">
        <v>79.0</v>
      </c>
      <c r="BC32" s="53">
        <v>83.0</v>
      </c>
      <c r="BD32" s="54">
        <v>72.0</v>
      </c>
      <c r="BE32" s="52">
        <v>88.0</v>
      </c>
      <c r="BF32" s="53">
        <v>86.0</v>
      </c>
      <c r="BG32" s="54">
        <v>92.0</v>
      </c>
      <c r="BH32" s="52">
        <v>74.0</v>
      </c>
      <c r="BI32" s="53">
        <v>73.0</v>
      </c>
      <c r="BJ32" s="54">
        <v>82.0</v>
      </c>
      <c r="BK32" s="52">
        <v>94.0</v>
      </c>
      <c r="BL32" s="53">
        <v>77.0</v>
      </c>
      <c r="BM32" s="54">
        <v>90.0</v>
      </c>
      <c r="BN32" s="52">
        <v>66.0</v>
      </c>
      <c r="BO32" s="53">
        <v>82.0</v>
      </c>
      <c r="BP32" s="54">
        <v>68.0</v>
      </c>
      <c r="BQ32" s="52">
        <v>86.0</v>
      </c>
      <c r="BR32" s="53">
        <v>96.0</v>
      </c>
      <c r="BS32" s="54">
        <v>85.0</v>
      </c>
      <c r="BT32" s="52">
        <v>78.0</v>
      </c>
      <c r="BU32" s="53">
        <v>70.0</v>
      </c>
      <c r="BV32" s="54">
        <v>99.0</v>
      </c>
      <c r="BW32" s="52">
        <v>66.0</v>
      </c>
      <c r="BX32" s="53">
        <v>87.0</v>
      </c>
      <c r="BY32" s="54">
        <v>83.0</v>
      </c>
      <c r="BZ32" s="52">
        <v>87.0</v>
      </c>
      <c r="CA32" s="53">
        <v>80.0</v>
      </c>
      <c r="CB32" s="54">
        <v>99.0</v>
      </c>
      <c r="CC32" s="52">
        <v>68.0</v>
      </c>
      <c r="CD32" s="53">
        <v>98.0</v>
      </c>
      <c r="CE32" s="54">
        <v>85.0</v>
      </c>
      <c r="CF32" s="52">
        <v>82.0</v>
      </c>
      <c r="CG32" s="53">
        <v>60.0</v>
      </c>
      <c r="CH32" s="54">
        <v>99.0</v>
      </c>
    </row>
    <row r="33">
      <c r="A33" s="47" t="s">
        <v>122</v>
      </c>
      <c r="B33" s="2" t="s">
        <v>123</v>
      </c>
      <c r="C33" s="52">
        <v>87.0</v>
      </c>
      <c r="D33" s="53">
        <v>74.0</v>
      </c>
      <c r="E33" s="54">
        <v>71.0</v>
      </c>
      <c r="F33" s="52">
        <v>68.0</v>
      </c>
      <c r="G33" s="53">
        <v>60.0</v>
      </c>
      <c r="H33" s="54">
        <v>72.0</v>
      </c>
      <c r="I33" s="52">
        <v>91.0</v>
      </c>
      <c r="J33" s="53">
        <v>63.0</v>
      </c>
      <c r="K33" s="54">
        <v>80.0</v>
      </c>
      <c r="L33" s="52">
        <v>75.0</v>
      </c>
      <c r="M33" s="53">
        <v>93.0</v>
      </c>
      <c r="N33" s="54">
        <v>98.0</v>
      </c>
      <c r="O33" s="52">
        <v>71.0</v>
      </c>
      <c r="P33" s="53">
        <v>84.0</v>
      </c>
      <c r="Q33" s="54">
        <v>63.0</v>
      </c>
      <c r="R33" s="52">
        <v>83.0</v>
      </c>
      <c r="S33" s="53">
        <v>89.0</v>
      </c>
      <c r="T33" s="54">
        <v>70.0</v>
      </c>
      <c r="U33" s="52">
        <v>68.0</v>
      </c>
      <c r="V33" s="53">
        <v>97.0</v>
      </c>
      <c r="W33" s="54">
        <v>82.0</v>
      </c>
      <c r="X33" s="52">
        <v>98.0</v>
      </c>
      <c r="Y33" s="53">
        <v>85.0</v>
      </c>
      <c r="Z33" s="54">
        <v>69.0</v>
      </c>
      <c r="AA33" s="52">
        <v>60.0</v>
      </c>
      <c r="AB33" s="53">
        <v>83.0</v>
      </c>
      <c r="AC33" s="54">
        <v>94.0</v>
      </c>
      <c r="AD33" s="52">
        <v>80.0</v>
      </c>
      <c r="AE33" s="53">
        <v>93.0</v>
      </c>
      <c r="AF33" s="54">
        <v>92.0</v>
      </c>
      <c r="AG33" s="52">
        <v>96.0</v>
      </c>
      <c r="AH33" s="53">
        <v>98.0</v>
      </c>
      <c r="AI33" s="54">
        <v>80.0</v>
      </c>
      <c r="AJ33" s="52">
        <v>82.0</v>
      </c>
      <c r="AK33" s="53">
        <v>96.0</v>
      </c>
      <c r="AL33" s="54">
        <v>98.0</v>
      </c>
      <c r="AM33" s="52">
        <v>95.0</v>
      </c>
      <c r="AN33" s="53">
        <v>88.0</v>
      </c>
      <c r="AO33" s="54">
        <v>76.0</v>
      </c>
      <c r="AP33" s="52">
        <v>71.0</v>
      </c>
      <c r="AQ33" s="53">
        <v>97.0</v>
      </c>
      <c r="AR33" s="54">
        <v>85.0</v>
      </c>
      <c r="AS33" s="52">
        <v>60.0</v>
      </c>
      <c r="AT33" s="53">
        <v>60.0</v>
      </c>
      <c r="AU33" s="54">
        <v>95.0</v>
      </c>
      <c r="AV33" s="52">
        <v>98.0</v>
      </c>
      <c r="AW33" s="53">
        <v>61.0</v>
      </c>
      <c r="AX33" s="54">
        <v>87.0</v>
      </c>
      <c r="AY33" s="52">
        <v>64.0</v>
      </c>
      <c r="AZ33" s="53">
        <v>87.0</v>
      </c>
      <c r="BA33" s="54">
        <v>97.0</v>
      </c>
      <c r="BB33" s="52">
        <v>95.0</v>
      </c>
      <c r="BC33" s="53">
        <v>95.0</v>
      </c>
      <c r="BD33" s="54">
        <v>79.0</v>
      </c>
      <c r="BE33" s="52">
        <v>94.0</v>
      </c>
      <c r="BF33" s="53">
        <v>68.0</v>
      </c>
      <c r="BG33" s="54">
        <v>90.0</v>
      </c>
      <c r="BH33" s="52">
        <v>94.0</v>
      </c>
      <c r="BI33" s="53">
        <v>96.0</v>
      </c>
      <c r="BJ33" s="54">
        <v>86.0</v>
      </c>
      <c r="BK33" s="52">
        <v>66.0</v>
      </c>
      <c r="BL33" s="53">
        <v>63.0</v>
      </c>
      <c r="BM33" s="54">
        <v>85.0</v>
      </c>
      <c r="BN33" s="52">
        <v>63.0</v>
      </c>
      <c r="BO33" s="53">
        <v>82.0</v>
      </c>
      <c r="BP33" s="54">
        <v>67.0</v>
      </c>
      <c r="BQ33" s="52">
        <v>91.0</v>
      </c>
      <c r="BR33" s="53">
        <v>64.0</v>
      </c>
      <c r="BS33" s="54">
        <v>73.0</v>
      </c>
      <c r="BT33" s="52">
        <v>67.0</v>
      </c>
      <c r="BU33" s="53">
        <v>67.0</v>
      </c>
      <c r="BV33" s="54">
        <v>97.0</v>
      </c>
      <c r="BW33" s="52">
        <v>69.0</v>
      </c>
      <c r="BX33" s="53">
        <v>76.0</v>
      </c>
      <c r="BY33" s="54">
        <v>90.0</v>
      </c>
      <c r="BZ33" s="52">
        <v>99.0</v>
      </c>
      <c r="CA33" s="53">
        <v>83.0</v>
      </c>
      <c r="CB33" s="54">
        <v>86.0</v>
      </c>
      <c r="CC33" s="52">
        <v>78.0</v>
      </c>
      <c r="CD33" s="53">
        <v>72.0</v>
      </c>
      <c r="CE33" s="54">
        <v>76.0</v>
      </c>
      <c r="CF33" s="52">
        <v>78.0</v>
      </c>
      <c r="CG33" s="53">
        <v>88.0</v>
      </c>
      <c r="CH33" s="54">
        <v>67.0</v>
      </c>
    </row>
    <row r="34">
      <c r="A34" s="47" t="s">
        <v>124</v>
      </c>
      <c r="B34" s="2" t="s">
        <v>125</v>
      </c>
      <c r="C34" s="52">
        <v>61.0</v>
      </c>
      <c r="D34" s="53">
        <v>78.0</v>
      </c>
      <c r="E34" s="54">
        <v>90.0</v>
      </c>
      <c r="F34" s="52">
        <v>79.0</v>
      </c>
      <c r="G34" s="53">
        <v>82.0</v>
      </c>
      <c r="H34" s="54">
        <v>95.0</v>
      </c>
      <c r="I34" s="52">
        <v>96.0</v>
      </c>
      <c r="J34" s="53">
        <v>86.0</v>
      </c>
      <c r="K34" s="54">
        <v>91.0</v>
      </c>
      <c r="L34" s="52">
        <v>71.0</v>
      </c>
      <c r="M34" s="53">
        <v>76.0</v>
      </c>
      <c r="N34" s="54">
        <v>68.0</v>
      </c>
      <c r="O34" s="52">
        <v>65.0</v>
      </c>
      <c r="P34" s="53">
        <v>93.0</v>
      </c>
      <c r="Q34" s="54">
        <v>77.0</v>
      </c>
      <c r="R34" s="52">
        <v>64.0</v>
      </c>
      <c r="S34" s="53">
        <v>96.0</v>
      </c>
      <c r="T34" s="54">
        <v>63.0</v>
      </c>
      <c r="U34" s="52">
        <v>97.0</v>
      </c>
      <c r="V34" s="53">
        <v>87.0</v>
      </c>
      <c r="W34" s="54">
        <v>87.0</v>
      </c>
      <c r="X34" s="52">
        <v>79.0</v>
      </c>
      <c r="Y34" s="53">
        <v>78.0</v>
      </c>
      <c r="Z34" s="54">
        <v>68.0</v>
      </c>
      <c r="AA34" s="52">
        <v>97.0</v>
      </c>
      <c r="AB34" s="53">
        <v>82.0</v>
      </c>
      <c r="AC34" s="54">
        <v>90.0</v>
      </c>
      <c r="AD34" s="52">
        <v>89.0</v>
      </c>
      <c r="AE34" s="53">
        <v>90.0</v>
      </c>
      <c r="AF34" s="54">
        <v>70.0</v>
      </c>
      <c r="AG34" s="52">
        <v>79.0</v>
      </c>
      <c r="AH34" s="53">
        <v>78.0</v>
      </c>
      <c r="AI34" s="54">
        <v>73.0</v>
      </c>
      <c r="AJ34" s="52">
        <v>92.0</v>
      </c>
      <c r="AK34" s="53">
        <v>82.0</v>
      </c>
      <c r="AL34" s="54">
        <v>71.0</v>
      </c>
      <c r="AM34" s="52">
        <v>91.0</v>
      </c>
      <c r="AN34" s="53">
        <v>98.0</v>
      </c>
      <c r="AO34" s="54">
        <v>95.0</v>
      </c>
      <c r="AP34" s="52">
        <v>93.0</v>
      </c>
      <c r="AQ34" s="53">
        <v>89.0</v>
      </c>
      <c r="AR34" s="54">
        <v>84.0</v>
      </c>
      <c r="AS34" s="52">
        <v>97.0</v>
      </c>
      <c r="AT34" s="53">
        <v>68.0</v>
      </c>
      <c r="AU34" s="54">
        <v>62.0</v>
      </c>
      <c r="AV34" s="52">
        <v>79.0</v>
      </c>
      <c r="AW34" s="53">
        <v>84.0</v>
      </c>
      <c r="AX34" s="54">
        <v>75.0</v>
      </c>
      <c r="AY34" s="52">
        <v>83.0</v>
      </c>
      <c r="AZ34" s="53">
        <v>67.0</v>
      </c>
      <c r="BA34" s="54">
        <v>75.0</v>
      </c>
      <c r="BB34" s="52">
        <v>86.0</v>
      </c>
      <c r="BC34" s="53">
        <v>96.0</v>
      </c>
      <c r="BD34" s="54">
        <v>73.0</v>
      </c>
      <c r="BE34" s="52">
        <v>91.0</v>
      </c>
      <c r="BF34" s="53">
        <v>71.0</v>
      </c>
      <c r="BG34" s="54">
        <v>63.0</v>
      </c>
      <c r="BH34" s="52">
        <v>81.0</v>
      </c>
      <c r="BI34" s="53">
        <v>63.0</v>
      </c>
      <c r="BJ34" s="54">
        <v>63.0</v>
      </c>
      <c r="BK34" s="52">
        <v>67.0</v>
      </c>
      <c r="BL34" s="53">
        <v>85.0</v>
      </c>
      <c r="BM34" s="54">
        <v>82.0</v>
      </c>
      <c r="BN34" s="52">
        <v>64.0</v>
      </c>
      <c r="BO34" s="53">
        <v>63.0</v>
      </c>
      <c r="BP34" s="54">
        <v>78.0</v>
      </c>
      <c r="BQ34" s="52">
        <v>83.0</v>
      </c>
      <c r="BR34" s="53">
        <v>81.0</v>
      </c>
      <c r="BS34" s="54">
        <v>62.0</v>
      </c>
      <c r="BT34" s="52">
        <v>74.0</v>
      </c>
      <c r="BU34" s="53">
        <v>77.0</v>
      </c>
      <c r="BV34" s="54">
        <v>91.0</v>
      </c>
      <c r="BW34" s="52">
        <v>84.0</v>
      </c>
      <c r="BX34" s="53">
        <v>89.0</v>
      </c>
      <c r="BY34" s="54">
        <v>65.0</v>
      </c>
      <c r="BZ34" s="52">
        <v>74.0</v>
      </c>
      <c r="CA34" s="53">
        <v>88.0</v>
      </c>
      <c r="CB34" s="54">
        <v>71.0</v>
      </c>
      <c r="CC34" s="52">
        <v>98.0</v>
      </c>
      <c r="CD34" s="53">
        <v>85.0</v>
      </c>
      <c r="CE34" s="54">
        <v>63.0</v>
      </c>
      <c r="CF34" s="52">
        <v>86.0</v>
      </c>
      <c r="CG34" s="53">
        <v>99.0</v>
      </c>
      <c r="CH34" s="54">
        <v>88.0</v>
      </c>
    </row>
    <row r="35">
      <c r="A35" s="47" t="s">
        <v>126</v>
      </c>
      <c r="B35" s="2" t="s">
        <v>127</v>
      </c>
      <c r="C35" s="52">
        <v>64.0</v>
      </c>
      <c r="D35" s="53">
        <v>83.0</v>
      </c>
      <c r="E35" s="54">
        <v>82.0</v>
      </c>
      <c r="F35" s="52">
        <v>61.0</v>
      </c>
      <c r="G35" s="53">
        <v>64.0</v>
      </c>
      <c r="H35" s="54">
        <v>67.0</v>
      </c>
      <c r="I35" s="52">
        <v>85.0</v>
      </c>
      <c r="J35" s="53">
        <v>61.0</v>
      </c>
      <c r="K35" s="54">
        <v>67.0</v>
      </c>
      <c r="L35" s="52">
        <v>68.0</v>
      </c>
      <c r="M35" s="53">
        <v>89.0</v>
      </c>
      <c r="N35" s="54">
        <v>97.0</v>
      </c>
      <c r="O35" s="52">
        <v>65.0</v>
      </c>
      <c r="P35" s="53">
        <v>95.0</v>
      </c>
      <c r="Q35" s="54">
        <v>66.0</v>
      </c>
      <c r="R35" s="52">
        <v>81.0</v>
      </c>
      <c r="S35" s="53">
        <v>70.0</v>
      </c>
      <c r="T35" s="54">
        <v>76.0</v>
      </c>
      <c r="U35" s="52">
        <v>61.0</v>
      </c>
      <c r="V35" s="53">
        <v>65.0</v>
      </c>
      <c r="W35" s="54">
        <v>87.0</v>
      </c>
      <c r="X35" s="52">
        <v>71.0</v>
      </c>
      <c r="Y35" s="53">
        <v>66.0</v>
      </c>
      <c r="Z35" s="54">
        <v>86.0</v>
      </c>
      <c r="AA35" s="52">
        <v>67.0</v>
      </c>
      <c r="AB35" s="53">
        <v>69.0</v>
      </c>
      <c r="AC35" s="54">
        <v>80.0</v>
      </c>
      <c r="AD35" s="52">
        <v>64.0</v>
      </c>
      <c r="AE35" s="53">
        <v>60.0</v>
      </c>
      <c r="AF35" s="54">
        <v>73.0</v>
      </c>
      <c r="AG35" s="52">
        <v>80.0</v>
      </c>
      <c r="AH35" s="53">
        <v>82.0</v>
      </c>
      <c r="AI35" s="54">
        <v>82.0</v>
      </c>
      <c r="AJ35" s="52">
        <v>82.0</v>
      </c>
      <c r="AK35" s="53">
        <v>85.0</v>
      </c>
      <c r="AL35" s="54">
        <v>89.0</v>
      </c>
      <c r="AM35" s="52">
        <v>93.0</v>
      </c>
      <c r="AN35" s="53">
        <v>99.0</v>
      </c>
      <c r="AO35" s="54">
        <v>75.0</v>
      </c>
      <c r="AP35" s="52">
        <v>64.0</v>
      </c>
      <c r="AQ35" s="53">
        <v>84.0</v>
      </c>
      <c r="AR35" s="54">
        <v>64.0</v>
      </c>
      <c r="AS35" s="52">
        <v>83.0</v>
      </c>
      <c r="AT35" s="53">
        <v>70.0</v>
      </c>
      <c r="AU35" s="54">
        <v>65.0</v>
      </c>
      <c r="AV35" s="52">
        <v>62.0</v>
      </c>
      <c r="AW35" s="53">
        <v>74.0</v>
      </c>
      <c r="AX35" s="54">
        <v>93.0</v>
      </c>
      <c r="AY35" s="52">
        <v>85.0</v>
      </c>
      <c r="AZ35" s="53">
        <v>86.0</v>
      </c>
      <c r="BA35" s="54">
        <v>90.0</v>
      </c>
      <c r="BB35" s="52">
        <v>66.0</v>
      </c>
      <c r="BC35" s="53">
        <v>70.0</v>
      </c>
      <c r="BD35" s="54">
        <v>73.0</v>
      </c>
      <c r="BE35" s="52">
        <v>90.0</v>
      </c>
      <c r="BF35" s="53">
        <v>85.0</v>
      </c>
      <c r="BG35" s="54">
        <v>92.0</v>
      </c>
      <c r="BH35" s="52">
        <v>70.0</v>
      </c>
      <c r="BI35" s="53">
        <v>92.0</v>
      </c>
      <c r="BJ35" s="54">
        <v>69.0</v>
      </c>
      <c r="BK35" s="52">
        <v>89.0</v>
      </c>
      <c r="BL35" s="53">
        <v>63.0</v>
      </c>
      <c r="BM35" s="54">
        <v>80.0</v>
      </c>
      <c r="BN35" s="52">
        <v>75.0</v>
      </c>
      <c r="BO35" s="53">
        <v>82.0</v>
      </c>
      <c r="BP35" s="54">
        <v>65.0</v>
      </c>
      <c r="BQ35" s="52">
        <v>70.0</v>
      </c>
      <c r="BR35" s="53">
        <v>81.0</v>
      </c>
      <c r="BS35" s="54">
        <v>86.0</v>
      </c>
      <c r="BT35" s="52">
        <v>75.0</v>
      </c>
      <c r="BU35" s="53">
        <v>97.0</v>
      </c>
      <c r="BV35" s="54">
        <v>95.0</v>
      </c>
      <c r="BW35" s="52">
        <v>88.0</v>
      </c>
      <c r="BX35" s="53">
        <v>84.0</v>
      </c>
      <c r="BY35" s="54">
        <v>62.0</v>
      </c>
      <c r="BZ35" s="52">
        <v>65.0</v>
      </c>
      <c r="CA35" s="53">
        <v>84.0</v>
      </c>
      <c r="CB35" s="54">
        <v>76.0</v>
      </c>
      <c r="CC35" s="52">
        <v>74.0</v>
      </c>
      <c r="CD35" s="53">
        <v>77.0</v>
      </c>
      <c r="CE35" s="54">
        <v>67.0</v>
      </c>
      <c r="CF35" s="52">
        <v>72.0</v>
      </c>
      <c r="CG35" s="53">
        <v>65.0</v>
      </c>
      <c r="CH35" s="54">
        <v>61.0</v>
      </c>
    </row>
    <row r="36">
      <c r="A36" s="47" t="s">
        <v>128</v>
      </c>
      <c r="B36" s="2" t="s">
        <v>129</v>
      </c>
      <c r="C36" s="52">
        <v>68.0</v>
      </c>
      <c r="D36" s="53">
        <v>75.0</v>
      </c>
      <c r="E36" s="54">
        <v>87.0</v>
      </c>
      <c r="F36" s="52">
        <v>72.0</v>
      </c>
      <c r="G36" s="53">
        <v>94.0</v>
      </c>
      <c r="H36" s="54">
        <v>78.0</v>
      </c>
      <c r="I36" s="52">
        <v>95.0</v>
      </c>
      <c r="J36" s="53">
        <v>83.0</v>
      </c>
      <c r="K36" s="54">
        <v>66.0</v>
      </c>
      <c r="L36" s="52">
        <v>80.0</v>
      </c>
      <c r="M36" s="53">
        <v>66.0</v>
      </c>
      <c r="N36" s="54">
        <v>85.0</v>
      </c>
      <c r="O36" s="52">
        <v>71.0</v>
      </c>
      <c r="P36" s="53">
        <v>94.0</v>
      </c>
      <c r="Q36" s="54">
        <v>80.0</v>
      </c>
      <c r="R36" s="52">
        <v>66.0</v>
      </c>
      <c r="S36" s="53">
        <v>96.0</v>
      </c>
      <c r="T36" s="54">
        <v>78.0</v>
      </c>
      <c r="U36" s="52">
        <v>87.0</v>
      </c>
      <c r="V36" s="53">
        <v>84.0</v>
      </c>
      <c r="W36" s="54">
        <v>82.0</v>
      </c>
      <c r="X36" s="52">
        <v>64.0</v>
      </c>
      <c r="Y36" s="53">
        <v>71.0</v>
      </c>
      <c r="Z36" s="54">
        <v>95.0</v>
      </c>
      <c r="AA36" s="52">
        <v>81.0</v>
      </c>
      <c r="AB36" s="53">
        <v>71.0</v>
      </c>
      <c r="AC36" s="54">
        <v>95.0</v>
      </c>
      <c r="AD36" s="52">
        <v>68.0</v>
      </c>
      <c r="AE36" s="53">
        <v>74.0</v>
      </c>
      <c r="AF36" s="54">
        <v>66.0</v>
      </c>
      <c r="AG36" s="52">
        <v>69.0</v>
      </c>
      <c r="AH36" s="53">
        <v>60.0</v>
      </c>
      <c r="AI36" s="54">
        <v>92.0</v>
      </c>
      <c r="AJ36" s="52">
        <v>81.0</v>
      </c>
      <c r="AK36" s="53">
        <v>84.0</v>
      </c>
      <c r="AL36" s="54">
        <v>76.0</v>
      </c>
      <c r="AM36" s="52">
        <v>85.0</v>
      </c>
      <c r="AN36" s="53">
        <v>91.0</v>
      </c>
      <c r="AO36" s="54">
        <v>95.0</v>
      </c>
      <c r="AP36" s="52">
        <v>96.0</v>
      </c>
      <c r="AQ36" s="53">
        <v>92.0</v>
      </c>
      <c r="AR36" s="54">
        <v>60.0</v>
      </c>
      <c r="AS36" s="52">
        <v>75.0</v>
      </c>
      <c r="AT36" s="53">
        <v>99.0</v>
      </c>
      <c r="AU36" s="54">
        <v>67.0</v>
      </c>
      <c r="AV36" s="52">
        <v>74.0</v>
      </c>
      <c r="AW36" s="53">
        <v>60.0</v>
      </c>
      <c r="AX36" s="54">
        <v>91.0</v>
      </c>
      <c r="AY36" s="52">
        <v>63.0</v>
      </c>
      <c r="AZ36" s="53">
        <v>86.0</v>
      </c>
      <c r="BA36" s="54">
        <v>70.0</v>
      </c>
      <c r="BB36" s="52">
        <v>64.0</v>
      </c>
      <c r="BC36" s="53">
        <v>84.0</v>
      </c>
      <c r="BD36" s="54">
        <v>71.0</v>
      </c>
      <c r="BE36" s="52">
        <v>80.0</v>
      </c>
      <c r="BF36" s="53">
        <v>92.0</v>
      </c>
      <c r="BG36" s="54">
        <v>67.0</v>
      </c>
      <c r="BH36" s="52">
        <v>76.0</v>
      </c>
      <c r="BI36" s="53">
        <v>96.0</v>
      </c>
      <c r="BJ36" s="54">
        <v>79.0</v>
      </c>
      <c r="BK36" s="52">
        <v>60.0</v>
      </c>
      <c r="BL36" s="53">
        <v>71.0</v>
      </c>
      <c r="BM36" s="54">
        <v>60.0</v>
      </c>
      <c r="BN36" s="52">
        <v>62.0</v>
      </c>
      <c r="BO36" s="53">
        <v>94.0</v>
      </c>
      <c r="BP36" s="54">
        <v>91.0</v>
      </c>
      <c r="BQ36" s="52">
        <v>99.0</v>
      </c>
      <c r="BR36" s="53">
        <v>95.0</v>
      </c>
      <c r="BS36" s="54">
        <v>79.0</v>
      </c>
      <c r="BT36" s="52">
        <v>90.0</v>
      </c>
      <c r="BU36" s="53">
        <v>85.0</v>
      </c>
      <c r="BV36" s="54">
        <v>82.0</v>
      </c>
      <c r="BW36" s="52">
        <v>75.0</v>
      </c>
      <c r="BX36" s="53">
        <v>94.0</v>
      </c>
      <c r="BY36" s="54">
        <v>66.0</v>
      </c>
      <c r="BZ36" s="52">
        <v>88.0</v>
      </c>
      <c r="CA36" s="53">
        <v>81.0</v>
      </c>
      <c r="CB36" s="54">
        <v>96.0</v>
      </c>
      <c r="CC36" s="52">
        <v>60.0</v>
      </c>
      <c r="CD36" s="53">
        <v>74.0</v>
      </c>
      <c r="CE36" s="54">
        <v>92.0</v>
      </c>
      <c r="CF36" s="52">
        <v>90.0</v>
      </c>
      <c r="CG36" s="53">
        <v>64.0</v>
      </c>
      <c r="CH36" s="54">
        <v>93.0</v>
      </c>
    </row>
    <row r="37">
      <c r="A37" s="47" t="s">
        <v>130</v>
      </c>
      <c r="B37" s="2" t="s">
        <v>131</v>
      </c>
      <c r="C37" s="52">
        <v>85.0</v>
      </c>
      <c r="D37" s="53">
        <v>78.0</v>
      </c>
      <c r="E37" s="54">
        <v>84.0</v>
      </c>
      <c r="F37" s="52">
        <v>69.0</v>
      </c>
      <c r="G37" s="53">
        <v>60.0</v>
      </c>
      <c r="H37" s="54">
        <v>90.0</v>
      </c>
      <c r="I37" s="52">
        <v>83.0</v>
      </c>
      <c r="J37" s="53">
        <v>63.0</v>
      </c>
      <c r="K37" s="54">
        <v>81.0</v>
      </c>
      <c r="L37" s="52">
        <v>84.0</v>
      </c>
      <c r="M37" s="53">
        <v>61.0</v>
      </c>
      <c r="N37" s="54">
        <v>86.0</v>
      </c>
      <c r="O37" s="52">
        <v>95.0</v>
      </c>
      <c r="P37" s="53">
        <v>92.0</v>
      </c>
      <c r="Q37" s="54">
        <v>80.0</v>
      </c>
      <c r="R37" s="52">
        <v>80.0</v>
      </c>
      <c r="S37" s="53">
        <v>81.0</v>
      </c>
      <c r="T37" s="54">
        <v>78.0</v>
      </c>
      <c r="U37" s="52">
        <v>85.0</v>
      </c>
      <c r="V37" s="53">
        <v>65.0</v>
      </c>
      <c r="W37" s="54">
        <v>66.0</v>
      </c>
      <c r="X37" s="52">
        <v>92.0</v>
      </c>
      <c r="Y37" s="53">
        <v>67.0</v>
      </c>
      <c r="Z37" s="54">
        <v>66.0</v>
      </c>
      <c r="AA37" s="52">
        <v>68.0</v>
      </c>
      <c r="AB37" s="53">
        <v>72.0</v>
      </c>
      <c r="AC37" s="54">
        <v>82.0</v>
      </c>
      <c r="AD37" s="52">
        <v>97.0</v>
      </c>
      <c r="AE37" s="53">
        <v>80.0</v>
      </c>
      <c r="AF37" s="54">
        <v>69.0</v>
      </c>
      <c r="AG37" s="52">
        <v>78.0</v>
      </c>
      <c r="AH37" s="53">
        <v>68.0</v>
      </c>
      <c r="AI37" s="54">
        <v>87.0</v>
      </c>
      <c r="AJ37" s="52">
        <v>74.0</v>
      </c>
      <c r="AK37" s="53">
        <v>79.0</v>
      </c>
      <c r="AL37" s="54">
        <v>88.0</v>
      </c>
      <c r="AM37" s="52">
        <v>98.0</v>
      </c>
      <c r="AN37" s="53">
        <v>88.0</v>
      </c>
      <c r="AO37" s="54">
        <v>82.0</v>
      </c>
      <c r="AP37" s="52">
        <v>75.0</v>
      </c>
      <c r="AQ37" s="53">
        <v>71.0</v>
      </c>
      <c r="AR37" s="54">
        <v>66.0</v>
      </c>
      <c r="AS37" s="52">
        <v>69.0</v>
      </c>
      <c r="AT37" s="53">
        <v>94.0</v>
      </c>
      <c r="AU37" s="54">
        <v>95.0</v>
      </c>
      <c r="AV37" s="52">
        <v>88.0</v>
      </c>
      <c r="AW37" s="53">
        <v>80.0</v>
      </c>
      <c r="AX37" s="54">
        <v>60.0</v>
      </c>
      <c r="AY37" s="52">
        <v>67.0</v>
      </c>
      <c r="AZ37" s="53">
        <v>60.0</v>
      </c>
      <c r="BA37" s="54">
        <v>66.0</v>
      </c>
      <c r="BB37" s="52">
        <v>73.0</v>
      </c>
      <c r="BC37" s="53">
        <v>66.0</v>
      </c>
      <c r="BD37" s="54">
        <v>86.0</v>
      </c>
      <c r="BE37" s="52">
        <v>84.0</v>
      </c>
      <c r="BF37" s="53">
        <v>84.0</v>
      </c>
      <c r="BG37" s="54">
        <v>88.0</v>
      </c>
      <c r="BH37" s="52">
        <v>60.0</v>
      </c>
      <c r="BI37" s="53">
        <v>62.0</v>
      </c>
      <c r="BJ37" s="54">
        <v>76.0</v>
      </c>
      <c r="BK37" s="52">
        <v>95.0</v>
      </c>
      <c r="BL37" s="53">
        <v>87.0</v>
      </c>
      <c r="BM37" s="54">
        <v>78.0</v>
      </c>
      <c r="BN37" s="52">
        <v>71.0</v>
      </c>
      <c r="BO37" s="53">
        <v>83.0</v>
      </c>
      <c r="BP37" s="54">
        <v>63.0</v>
      </c>
      <c r="BQ37" s="52">
        <v>98.0</v>
      </c>
      <c r="BR37" s="53">
        <v>84.0</v>
      </c>
      <c r="BS37" s="54">
        <v>60.0</v>
      </c>
      <c r="BT37" s="52">
        <v>70.0</v>
      </c>
      <c r="BU37" s="53">
        <v>72.0</v>
      </c>
      <c r="BV37" s="54">
        <v>89.0</v>
      </c>
      <c r="BW37" s="52">
        <v>68.0</v>
      </c>
      <c r="BX37" s="53">
        <v>93.0</v>
      </c>
      <c r="BY37" s="54">
        <v>65.0</v>
      </c>
      <c r="BZ37" s="52">
        <v>85.0</v>
      </c>
      <c r="CA37" s="53">
        <v>61.0</v>
      </c>
      <c r="CB37" s="54">
        <v>72.0</v>
      </c>
      <c r="CC37" s="52">
        <v>90.0</v>
      </c>
      <c r="CD37" s="53">
        <v>67.0</v>
      </c>
      <c r="CE37" s="54">
        <v>72.0</v>
      </c>
      <c r="CF37" s="52">
        <v>97.0</v>
      </c>
      <c r="CG37" s="53">
        <v>92.0</v>
      </c>
      <c r="CH37" s="54">
        <v>62.0</v>
      </c>
    </row>
    <row r="38">
      <c r="A38" s="47" t="s">
        <v>132</v>
      </c>
      <c r="B38" s="2" t="s">
        <v>133</v>
      </c>
      <c r="C38" s="52">
        <v>61.0</v>
      </c>
      <c r="D38" s="53">
        <v>70.0</v>
      </c>
      <c r="E38" s="54">
        <v>68.0</v>
      </c>
      <c r="F38" s="52">
        <v>66.0</v>
      </c>
      <c r="G38" s="53">
        <v>78.0</v>
      </c>
      <c r="H38" s="54">
        <v>79.0</v>
      </c>
      <c r="I38" s="52">
        <v>98.0</v>
      </c>
      <c r="J38" s="53">
        <v>77.0</v>
      </c>
      <c r="K38" s="54">
        <v>64.0</v>
      </c>
      <c r="L38" s="52">
        <v>85.0</v>
      </c>
      <c r="M38" s="53">
        <v>83.0</v>
      </c>
      <c r="N38" s="54">
        <v>81.0</v>
      </c>
      <c r="O38" s="52">
        <v>80.0</v>
      </c>
      <c r="P38" s="53">
        <v>63.0</v>
      </c>
      <c r="Q38" s="54">
        <v>93.0</v>
      </c>
      <c r="R38" s="52">
        <v>92.0</v>
      </c>
      <c r="S38" s="53">
        <v>96.0</v>
      </c>
      <c r="T38" s="54">
        <v>87.0</v>
      </c>
      <c r="U38" s="52">
        <v>99.0</v>
      </c>
      <c r="V38" s="53">
        <v>66.0</v>
      </c>
      <c r="W38" s="54">
        <v>95.0</v>
      </c>
      <c r="X38" s="52">
        <v>82.0</v>
      </c>
      <c r="Y38" s="53">
        <v>65.0</v>
      </c>
      <c r="Z38" s="54">
        <v>76.0</v>
      </c>
      <c r="AA38" s="52">
        <v>90.0</v>
      </c>
      <c r="AB38" s="53">
        <v>75.0</v>
      </c>
      <c r="AC38" s="54">
        <v>82.0</v>
      </c>
      <c r="AD38" s="52">
        <v>78.0</v>
      </c>
      <c r="AE38" s="53">
        <v>73.0</v>
      </c>
      <c r="AF38" s="54">
        <v>62.0</v>
      </c>
      <c r="AG38" s="52">
        <v>65.0</v>
      </c>
      <c r="AH38" s="53">
        <v>94.0</v>
      </c>
      <c r="AI38" s="54">
        <v>83.0</v>
      </c>
      <c r="AJ38" s="52">
        <v>92.0</v>
      </c>
      <c r="AK38" s="53">
        <v>87.0</v>
      </c>
      <c r="AL38" s="54">
        <v>68.0</v>
      </c>
      <c r="AM38" s="52">
        <v>75.0</v>
      </c>
      <c r="AN38" s="53">
        <v>90.0</v>
      </c>
      <c r="AO38" s="54">
        <v>91.0</v>
      </c>
      <c r="AP38" s="52">
        <v>87.0</v>
      </c>
      <c r="AQ38" s="53">
        <v>88.0</v>
      </c>
      <c r="AR38" s="54">
        <v>85.0</v>
      </c>
      <c r="AS38" s="52">
        <v>68.0</v>
      </c>
      <c r="AT38" s="53">
        <v>96.0</v>
      </c>
      <c r="AU38" s="54">
        <v>89.0</v>
      </c>
      <c r="AV38" s="52">
        <v>93.0</v>
      </c>
      <c r="AW38" s="53">
        <v>63.0</v>
      </c>
      <c r="AX38" s="54">
        <v>85.0</v>
      </c>
      <c r="AY38" s="52">
        <v>68.0</v>
      </c>
      <c r="AZ38" s="53">
        <v>76.0</v>
      </c>
      <c r="BA38" s="54">
        <v>69.0</v>
      </c>
      <c r="BB38" s="52">
        <v>70.0</v>
      </c>
      <c r="BC38" s="53">
        <v>80.0</v>
      </c>
      <c r="BD38" s="54">
        <v>71.0</v>
      </c>
      <c r="BE38" s="52">
        <v>68.0</v>
      </c>
      <c r="BF38" s="53">
        <v>96.0</v>
      </c>
      <c r="BG38" s="54">
        <v>65.0</v>
      </c>
      <c r="BH38" s="52">
        <v>78.0</v>
      </c>
      <c r="BI38" s="53">
        <v>97.0</v>
      </c>
      <c r="BJ38" s="54">
        <v>80.0</v>
      </c>
      <c r="BK38" s="52">
        <v>89.0</v>
      </c>
      <c r="BL38" s="53">
        <v>83.0</v>
      </c>
      <c r="BM38" s="54">
        <v>82.0</v>
      </c>
      <c r="BN38" s="52">
        <v>82.0</v>
      </c>
      <c r="BO38" s="53">
        <v>76.0</v>
      </c>
      <c r="BP38" s="54">
        <v>65.0</v>
      </c>
      <c r="BQ38" s="52">
        <v>72.0</v>
      </c>
      <c r="BR38" s="53">
        <v>94.0</v>
      </c>
      <c r="BS38" s="54">
        <v>86.0</v>
      </c>
      <c r="BT38" s="52">
        <v>78.0</v>
      </c>
      <c r="BU38" s="53">
        <v>75.0</v>
      </c>
      <c r="BV38" s="54">
        <v>67.0</v>
      </c>
      <c r="BW38" s="52">
        <v>78.0</v>
      </c>
      <c r="BX38" s="53">
        <v>75.0</v>
      </c>
      <c r="BY38" s="54">
        <v>87.0</v>
      </c>
      <c r="BZ38" s="52">
        <v>73.0</v>
      </c>
      <c r="CA38" s="53">
        <v>97.0</v>
      </c>
      <c r="CB38" s="54">
        <v>71.0</v>
      </c>
      <c r="CC38" s="52">
        <v>85.0</v>
      </c>
      <c r="CD38" s="53">
        <v>73.0</v>
      </c>
      <c r="CE38" s="54">
        <v>78.0</v>
      </c>
      <c r="CF38" s="52">
        <v>97.0</v>
      </c>
      <c r="CG38" s="53">
        <v>83.0</v>
      </c>
      <c r="CH38" s="54">
        <v>74.0</v>
      </c>
    </row>
    <row r="39">
      <c r="A39" s="47" t="s">
        <v>134</v>
      </c>
      <c r="B39" s="2" t="s">
        <v>135</v>
      </c>
      <c r="C39" s="52">
        <v>81.0</v>
      </c>
      <c r="D39" s="53">
        <v>87.0</v>
      </c>
      <c r="E39" s="54">
        <v>88.0</v>
      </c>
      <c r="F39" s="52">
        <v>67.0</v>
      </c>
      <c r="G39" s="53">
        <v>77.0</v>
      </c>
      <c r="H39" s="54">
        <v>85.0</v>
      </c>
      <c r="I39" s="52">
        <v>69.0</v>
      </c>
      <c r="J39" s="53">
        <v>71.0</v>
      </c>
      <c r="K39" s="54">
        <v>94.0</v>
      </c>
      <c r="L39" s="52">
        <v>73.0</v>
      </c>
      <c r="M39" s="53">
        <v>82.0</v>
      </c>
      <c r="N39" s="54">
        <v>63.0</v>
      </c>
      <c r="O39" s="52">
        <v>87.0</v>
      </c>
      <c r="P39" s="53">
        <v>83.0</v>
      </c>
      <c r="Q39" s="54">
        <v>85.0</v>
      </c>
      <c r="R39" s="52">
        <v>90.0</v>
      </c>
      <c r="S39" s="53">
        <v>92.0</v>
      </c>
      <c r="T39" s="54">
        <v>86.0</v>
      </c>
      <c r="U39" s="52">
        <v>76.0</v>
      </c>
      <c r="V39" s="53">
        <v>64.0</v>
      </c>
      <c r="W39" s="54">
        <v>82.0</v>
      </c>
      <c r="X39" s="52">
        <v>75.0</v>
      </c>
      <c r="Y39" s="53">
        <v>71.0</v>
      </c>
      <c r="Z39" s="54">
        <v>66.0</v>
      </c>
      <c r="AA39" s="52">
        <v>74.0</v>
      </c>
      <c r="AB39" s="53">
        <v>60.0</v>
      </c>
      <c r="AC39" s="54">
        <v>97.0</v>
      </c>
      <c r="AD39" s="52">
        <v>71.0</v>
      </c>
      <c r="AE39" s="53">
        <v>92.0</v>
      </c>
      <c r="AF39" s="54">
        <v>75.0</v>
      </c>
      <c r="AG39" s="52">
        <v>91.0</v>
      </c>
      <c r="AH39" s="53">
        <v>96.0</v>
      </c>
      <c r="AI39" s="54">
        <v>64.0</v>
      </c>
      <c r="AJ39" s="52">
        <v>89.0</v>
      </c>
      <c r="AK39" s="53">
        <v>80.0</v>
      </c>
      <c r="AL39" s="54">
        <v>98.0</v>
      </c>
      <c r="AM39" s="52">
        <v>95.0</v>
      </c>
      <c r="AN39" s="53">
        <v>89.0</v>
      </c>
      <c r="AO39" s="54">
        <v>95.0</v>
      </c>
      <c r="AP39" s="52">
        <v>71.0</v>
      </c>
      <c r="AQ39" s="53">
        <v>93.0</v>
      </c>
      <c r="AR39" s="54">
        <v>71.0</v>
      </c>
      <c r="AS39" s="52">
        <v>65.0</v>
      </c>
      <c r="AT39" s="53">
        <v>82.0</v>
      </c>
      <c r="AU39" s="54">
        <v>79.0</v>
      </c>
      <c r="AV39" s="52">
        <v>95.0</v>
      </c>
      <c r="AW39" s="53">
        <v>91.0</v>
      </c>
      <c r="AX39" s="54">
        <v>64.0</v>
      </c>
      <c r="AY39" s="52">
        <v>97.0</v>
      </c>
      <c r="AZ39" s="53">
        <v>82.0</v>
      </c>
      <c r="BA39" s="54">
        <v>63.0</v>
      </c>
      <c r="BB39" s="52">
        <v>86.0</v>
      </c>
      <c r="BC39" s="53">
        <v>63.0</v>
      </c>
      <c r="BD39" s="54">
        <v>85.0</v>
      </c>
      <c r="BE39" s="52">
        <v>92.0</v>
      </c>
      <c r="BF39" s="53">
        <v>62.0</v>
      </c>
      <c r="BG39" s="54">
        <v>81.0</v>
      </c>
      <c r="BH39" s="52">
        <v>67.0</v>
      </c>
      <c r="BI39" s="53">
        <v>67.0</v>
      </c>
      <c r="BJ39" s="54">
        <v>61.0</v>
      </c>
      <c r="BK39" s="52">
        <v>90.0</v>
      </c>
      <c r="BL39" s="53">
        <v>95.0</v>
      </c>
      <c r="BM39" s="54">
        <v>82.0</v>
      </c>
      <c r="BN39" s="52">
        <v>66.0</v>
      </c>
      <c r="BO39" s="53">
        <v>66.0</v>
      </c>
      <c r="BP39" s="54">
        <v>94.0</v>
      </c>
      <c r="BQ39" s="52">
        <v>76.0</v>
      </c>
      <c r="BR39" s="53">
        <v>70.0</v>
      </c>
      <c r="BS39" s="54">
        <v>94.0</v>
      </c>
      <c r="BT39" s="52">
        <v>86.0</v>
      </c>
      <c r="BU39" s="53">
        <v>75.0</v>
      </c>
      <c r="BV39" s="54">
        <v>97.0</v>
      </c>
      <c r="BW39" s="52">
        <v>91.0</v>
      </c>
      <c r="BX39" s="53">
        <v>79.0</v>
      </c>
      <c r="BY39" s="54">
        <v>80.0</v>
      </c>
      <c r="BZ39" s="52">
        <v>93.0</v>
      </c>
      <c r="CA39" s="53">
        <v>96.0</v>
      </c>
      <c r="CB39" s="54">
        <v>72.0</v>
      </c>
      <c r="CC39" s="52">
        <v>85.0</v>
      </c>
      <c r="CD39" s="53">
        <v>96.0</v>
      </c>
      <c r="CE39" s="54">
        <v>73.0</v>
      </c>
      <c r="CF39" s="52">
        <v>92.0</v>
      </c>
      <c r="CG39" s="53">
        <v>68.0</v>
      </c>
      <c r="CH39" s="54">
        <v>71.0</v>
      </c>
    </row>
    <row r="40">
      <c r="A40" s="47" t="s">
        <v>136</v>
      </c>
      <c r="B40" s="2" t="s">
        <v>137</v>
      </c>
      <c r="C40" s="52">
        <v>89.0</v>
      </c>
      <c r="D40" s="53">
        <v>86.0</v>
      </c>
      <c r="E40" s="54">
        <v>62.0</v>
      </c>
      <c r="F40" s="52">
        <v>68.0</v>
      </c>
      <c r="G40" s="53">
        <v>63.0</v>
      </c>
      <c r="H40" s="54">
        <v>65.0</v>
      </c>
      <c r="I40" s="52">
        <v>82.0</v>
      </c>
      <c r="J40" s="53">
        <v>64.0</v>
      </c>
      <c r="K40" s="54">
        <v>62.0</v>
      </c>
      <c r="L40" s="52">
        <v>80.0</v>
      </c>
      <c r="M40" s="53">
        <v>83.0</v>
      </c>
      <c r="N40" s="54">
        <v>63.0</v>
      </c>
      <c r="O40" s="52">
        <v>80.0</v>
      </c>
      <c r="P40" s="53">
        <v>61.0</v>
      </c>
      <c r="Q40" s="54">
        <v>90.0</v>
      </c>
      <c r="R40" s="52">
        <v>62.0</v>
      </c>
      <c r="S40" s="53">
        <v>63.0</v>
      </c>
      <c r="T40" s="54">
        <v>66.0</v>
      </c>
      <c r="U40" s="52">
        <v>84.0</v>
      </c>
      <c r="V40" s="53">
        <v>75.0</v>
      </c>
      <c r="W40" s="54">
        <v>73.0</v>
      </c>
      <c r="X40" s="52">
        <v>97.0</v>
      </c>
      <c r="Y40" s="53">
        <v>60.0</v>
      </c>
      <c r="Z40" s="54">
        <v>60.0</v>
      </c>
      <c r="AA40" s="52">
        <v>61.0</v>
      </c>
      <c r="AB40" s="53">
        <v>71.0</v>
      </c>
      <c r="AC40" s="54">
        <v>76.0</v>
      </c>
      <c r="AD40" s="52">
        <v>86.0</v>
      </c>
      <c r="AE40" s="53">
        <v>67.0</v>
      </c>
      <c r="AF40" s="54">
        <v>81.0</v>
      </c>
      <c r="AG40" s="52">
        <v>73.0</v>
      </c>
      <c r="AH40" s="53">
        <v>63.0</v>
      </c>
      <c r="AI40" s="54">
        <v>88.0</v>
      </c>
      <c r="AJ40" s="52">
        <v>93.0</v>
      </c>
      <c r="AK40" s="53">
        <v>96.0</v>
      </c>
      <c r="AL40" s="54">
        <v>78.0</v>
      </c>
      <c r="AM40" s="52">
        <v>95.0</v>
      </c>
      <c r="AN40" s="53">
        <v>98.0</v>
      </c>
      <c r="AO40" s="54">
        <v>93.0</v>
      </c>
      <c r="AP40" s="52">
        <v>73.0</v>
      </c>
      <c r="AQ40" s="53">
        <v>66.0</v>
      </c>
      <c r="AR40" s="54">
        <v>76.0</v>
      </c>
      <c r="AS40" s="52">
        <v>87.0</v>
      </c>
      <c r="AT40" s="53">
        <v>81.0</v>
      </c>
      <c r="AU40" s="54">
        <v>72.0</v>
      </c>
      <c r="AV40" s="52">
        <v>72.0</v>
      </c>
      <c r="AW40" s="53">
        <v>70.0</v>
      </c>
      <c r="AX40" s="54">
        <v>80.0</v>
      </c>
      <c r="AY40" s="52">
        <v>73.0</v>
      </c>
      <c r="AZ40" s="53">
        <v>83.0</v>
      </c>
      <c r="BA40" s="54">
        <v>75.0</v>
      </c>
      <c r="BB40" s="52">
        <v>78.0</v>
      </c>
      <c r="BC40" s="53">
        <v>77.0</v>
      </c>
      <c r="BD40" s="54">
        <v>63.0</v>
      </c>
      <c r="BE40" s="52">
        <v>69.0</v>
      </c>
      <c r="BF40" s="53">
        <v>70.0</v>
      </c>
      <c r="BG40" s="54">
        <v>79.0</v>
      </c>
      <c r="BH40" s="52">
        <v>97.0</v>
      </c>
      <c r="BI40" s="53">
        <v>85.0</v>
      </c>
      <c r="BJ40" s="54">
        <v>96.0</v>
      </c>
      <c r="BK40" s="52">
        <v>89.0</v>
      </c>
      <c r="BL40" s="53">
        <v>79.0</v>
      </c>
      <c r="BM40" s="54">
        <v>75.0</v>
      </c>
      <c r="BN40" s="52">
        <v>84.0</v>
      </c>
      <c r="BO40" s="53">
        <v>99.0</v>
      </c>
      <c r="BP40" s="54">
        <v>91.0</v>
      </c>
      <c r="BQ40" s="52">
        <v>70.0</v>
      </c>
      <c r="BR40" s="53">
        <v>64.0</v>
      </c>
      <c r="BS40" s="54">
        <v>73.0</v>
      </c>
      <c r="BT40" s="52">
        <v>79.0</v>
      </c>
      <c r="BU40" s="53">
        <v>64.0</v>
      </c>
      <c r="BV40" s="54">
        <v>75.0</v>
      </c>
      <c r="BW40" s="52">
        <v>82.0</v>
      </c>
      <c r="BX40" s="53">
        <v>99.0</v>
      </c>
      <c r="BY40" s="54">
        <v>72.0</v>
      </c>
      <c r="BZ40" s="52">
        <v>85.0</v>
      </c>
      <c r="CA40" s="53">
        <v>86.0</v>
      </c>
      <c r="CB40" s="54">
        <v>83.0</v>
      </c>
      <c r="CC40" s="52">
        <v>66.0</v>
      </c>
      <c r="CD40" s="53">
        <v>69.0</v>
      </c>
      <c r="CE40" s="54">
        <v>65.0</v>
      </c>
      <c r="CF40" s="52">
        <v>64.0</v>
      </c>
      <c r="CG40" s="53">
        <v>67.0</v>
      </c>
      <c r="CH40" s="54">
        <v>93.0</v>
      </c>
    </row>
    <row r="41">
      <c r="A41" s="47" t="s">
        <v>139</v>
      </c>
      <c r="B41" s="2" t="s">
        <v>140</v>
      </c>
      <c r="C41" s="52">
        <v>66.0</v>
      </c>
      <c r="D41" s="53">
        <v>68.0</v>
      </c>
      <c r="E41" s="54">
        <v>83.0</v>
      </c>
      <c r="F41" s="52">
        <v>64.0</v>
      </c>
      <c r="G41" s="53">
        <v>92.0</v>
      </c>
      <c r="H41" s="54">
        <v>66.0</v>
      </c>
      <c r="I41" s="52">
        <v>66.0</v>
      </c>
      <c r="J41" s="53">
        <v>80.0</v>
      </c>
      <c r="K41" s="54">
        <v>77.0</v>
      </c>
      <c r="L41" s="52">
        <v>68.0</v>
      </c>
      <c r="M41" s="53">
        <v>69.0</v>
      </c>
      <c r="N41" s="54">
        <v>84.0</v>
      </c>
      <c r="O41" s="52">
        <v>88.0</v>
      </c>
      <c r="P41" s="53">
        <v>73.0</v>
      </c>
      <c r="Q41" s="54">
        <v>86.0</v>
      </c>
      <c r="R41" s="52">
        <v>86.0</v>
      </c>
      <c r="S41" s="53">
        <v>61.0</v>
      </c>
      <c r="T41" s="54">
        <v>78.0</v>
      </c>
      <c r="U41" s="52">
        <v>98.0</v>
      </c>
      <c r="V41" s="53">
        <v>77.0</v>
      </c>
      <c r="W41" s="54">
        <v>85.0</v>
      </c>
      <c r="X41" s="52">
        <v>84.0</v>
      </c>
      <c r="Y41" s="53">
        <v>69.0</v>
      </c>
      <c r="Z41" s="54">
        <v>79.0</v>
      </c>
      <c r="AA41" s="52">
        <v>82.0</v>
      </c>
      <c r="AB41" s="53">
        <v>84.0</v>
      </c>
      <c r="AC41" s="54">
        <v>83.0</v>
      </c>
      <c r="AD41" s="52">
        <v>91.0</v>
      </c>
      <c r="AE41" s="53">
        <v>97.0</v>
      </c>
      <c r="AF41" s="54">
        <v>64.0</v>
      </c>
      <c r="AG41" s="52">
        <v>67.0</v>
      </c>
      <c r="AH41" s="53">
        <v>84.0</v>
      </c>
      <c r="AI41" s="54">
        <v>63.0</v>
      </c>
      <c r="AJ41" s="52">
        <v>71.0</v>
      </c>
      <c r="AK41" s="53">
        <v>94.0</v>
      </c>
      <c r="AL41" s="54">
        <v>89.0</v>
      </c>
      <c r="AM41" s="52">
        <v>91.0</v>
      </c>
      <c r="AN41" s="53">
        <v>90.0</v>
      </c>
      <c r="AO41" s="54">
        <v>78.0</v>
      </c>
      <c r="AP41" s="52">
        <v>90.0</v>
      </c>
      <c r="AQ41" s="53">
        <v>87.0</v>
      </c>
      <c r="AR41" s="54">
        <v>96.0</v>
      </c>
      <c r="AS41" s="52">
        <v>97.0</v>
      </c>
      <c r="AT41" s="53">
        <v>78.0</v>
      </c>
      <c r="AU41" s="54">
        <v>98.0</v>
      </c>
      <c r="AV41" s="52">
        <v>75.0</v>
      </c>
      <c r="AW41" s="53">
        <v>92.0</v>
      </c>
      <c r="AX41" s="54">
        <v>98.0</v>
      </c>
      <c r="AY41" s="52">
        <v>85.0</v>
      </c>
      <c r="AZ41" s="53">
        <v>95.0</v>
      </c>
      <c r="BA41" s="54">
        <v>86.0</v>
      </c>
      <c r="BB41" s="52">
        <v>70.0</v>
      </c>
      <c r="BC41" s="53">
        <v>87.0</v>
      </c>
      <c r="BD41" s="54">
        <v>76.0</v>
      </c>
      <c r="BE41" s="52">
        <v>82.0</v>
      </c>
      <c r="BF41" s="53">
        <v>99.0</v>
      </c>
      <c r="BG41" s="54">
        <v>65.0</v>
      </c>
      <c r="BH41" s="52">
        <v>67.0</v>
      </c>
      <c r="BI41" s="53">
        <v>66.0</v>
      </c>
      <c r="BJ41" s="54">
        <v>84.0</v>
      </c>
      <c r="BK41" s="52">
        <v>75.0</v>
      </c>
      <c r="BL41" s="53">
        <v>93.0</v>
      </c>
      <c r="BM41" s="54">
        <v>83.0</v>
      </c>
      <c r="BN41" s="52">
        <v>98.0</v>
      </c>
      <c r="BO41" s="53">
        <v>88.0</v>
      </c>
      <c r="BP41" s="54">
        <v>64.0</v>
      </c>
      <c r="BQ41" s="52">
        <v>69.0</v>
      </c>
      <c r="BR41" s="53">
        <v>82.0</v>
      </c>
      <c r="BS41" s="54">
        <v>60.0</v>
      </c>
      <c r="BT41" s="52">
        <v>96.0</v>
      </c>
      <c r="BU41" s="53">
        <v>71.0</v>
      </c>
      <c r="BV41" s="54">
        <v>60.0</v>
      </c>
      <c r="BW41" s="52">
        <v>74.0</v>
      </c>
      <c r="BX41" s="53">
        <v>64.0</v>
      </c>
      <c r="BY41" s="54">
        <v>88.0</v>
      </c>
      <c r="BZ41" s="52">
        <v>77.0</v>
      </c>
      <c r="CA41" s="53">
        <v>83.0</v>
      </c>
      <c r="CB41" s="54">
        <v>68.0</v>
      </c>
      <c r="CC41" s="52">
        <v>80.0</v>
      </c>
      <c r="CD41" s="53">
        <v>79.0</v>
      </c>
      <c r="CE41" s="54">
        <v>98.0</v>
      </c>
      <c r="CF41" s="52">
        <v>92.0</v>
      </c>
      <c r="CG41" s="53">
        <v>93.0</v>
      </c>
      <c r="CH41" s="54">
        <v>78.0</v>
      </c>
    </row>
    <row r="42">
      <c r="A42" s="47" t="s">
        <v>141</v>
      </c>
      <c r="B42" s="2" t="s">
        <v>142</v>
      </c>
      <c r="C42" s="52">
        <v>65.0</v>
      </c>
      <c r="D42" s="53">
        <v>75.0</v>
      </c>
      <c r="E42" s="54">
        <v>96.0</v>
      </c>
      <c r="F42" s="52">
        <v>62.0</v>
      </c>
      <c r="G42" s="53">
        <v>96.0</v>
      </c>
      <c r="H42" s="54">
        <v>84.0</v>
      </c>
      <c r="I42" s="52">
        <v>97.0</v>
      </c>
      <c r="J42" s="53">
        <v>60.0</v>
      </c>
      <c r="K42" s="54">
        <v>96.0</v>
      </c>
      <c r="L42" s="52">
        <v>70.0</v>
      </c>
      <c r="M42" s="53">
        <v>64.0</v>
      </c>
      <c r="N42" s="54">
        <v>63.0</v>
      </c>
      <c r="O42" s="52">
        <v>67.0</v>
      </c>
      <c r="P42" s="53">
        <v>78.0</v>
      </c>
      <c r="Q42" s="54">
        <v>76.0</v>
      </c>
      <c r="R42" s="52">
        <v>68.0</v>
      </c>
      <c r="S42" s="53">
        <v>94.0</v>
      </c>
      <c r="T42" s="54">
        <v>99.0</v>
      </c>
      <c r="U42" s="52">
        <v>78.0</v>
      </c>
      <c r="V42" s="53">
        <v>76.0</v>
      </c>
      <c r="W42" s="54">
        <v>65.0</v>
      </c>
      <c r="X42" s="52">
        <v>95.0</v>
      </c>
      <c r="Y42" s="53">
        <v>86.0</v>
      </c>
      <c r="Z42" s="54">
        <v>77.0</v>
      </c>
      <c r="AA42" s="52">
        <v>82.0</v>
      </c>
      <c r="AB42" s="53">
        <v>99.0</v>
      </c>
      <c r="AC42" s="54">
        <v>92.0</v>
      </c>
      <c r="AD42" s="52">
        <v>60.0</v>
      </c>
      <c r="AE42" s="53">
        <v>69.0</v>
      </c>
      <c r="AF42" s="54">
        <v>69.0</v>
      </c>
      <c r="AG42" s="52">
        <v>66.0</v>
      </c>
      <c r="AH42" s="53">
        <v>98.0</v>
      </c>
      <c r="AI42" s="54">
        <v>62.0</v>
      </c>
      <c r="AJ42" s="52">
        <v>85.0</v>
      </c>
      <c r="AK42" s="53">
        <v>95.0</v>
      </c>
      <c r="AL42" s="54">
        <v>65.0</v>
      </c>
      <c r="AM42" s="52">
        <v>86.0</v>
      </c>
      <c r="AN42" s="53">
        <v>81.0</v>
      </c>
      <c r="AO42" s="54">
        <v>78.0</v>
      </c>
      <c r="AP42" s="52">
        <v>79.0</v>
      </c>
      <c r="AQ42" s="53">
        <v>82.0</v>
      </c>
      <c r="AR42" s="54">
        <v>70.0</v>
      </c>
      <c r="AS42" s="52">
        <v>89.0</v>
      </c>
      <c r="AT42" s="53">
        <v>81.0</v>
      </c>
      <c r="AU42" s="54">
        <v>72.0</v>
      </c>
      <c r="AV42" s="52">
        <v>89.0</v>
      </c>
      <c r="AW42" s="53">
        <v>65.0</v>
      </c>
      <c r="AX42" s="54">
        <v>82.0</v>
      </c>
      <c r="AY42" s="52">
        <v>83.0</v>
      </c>
      <c r="AZ42" s="53">
        <v>72.0</v>
      </c>
      <c r="BA42" s="54">
        <v>62.0</v>
      </c>
      <c r="BB42" s="52">
        <v>98.0</v>
      </c>
      <c r="BC42" s="53">
        <v>83.0</v>
      </c>
      <c r="BD42" s="54">
        <v>65.0</v>
      </c>
      <c r="BE42" s="52">
        <v>73.0</v>
      </c>
      <c r="BF42" s="53">
        <v>98.0</v>
      </c>
      <c r="BG42" s="54">
        <v>71.0</v>
      </c>
      <c r="BH42" s="52">
        <v>86.0</v>
      </c>
      <c r="BI42" s="53">
        <v>76.0</v>
      </c>
      <c r="BJ42" s="54">
        <v>76.0</v>
      </c>
      <c r="BK42" s="52">
        <v>94.0</v>
      </c>
      <c r="BL42" s="53">
        <v>66.0</v>
      </c>
      <c r="BM42" s="54">
        <v>80.0</v>
      </c>
      <c r="BN42" s="52">
        <v>88.0</v>
      </c>
      <c r="BO42" s="53">
        <v>60.0</v>
      </c>
      <c r="BP42" s="54">
        <v>62.0</v>
      </c>
      <c r="BQ42" s="52">
        <v>92.0</v>
      </c>
      <c r="BR42" s="53">
        <v>86.0</v>
      </c>
      <c r="BS42" s="54">
        <v>68.0</v>
      </c>
      <c r="BT42" s="52">
        <v>93.0</v>
      </c>
      <c r="BU42" s="53">
        <v>64.0</v>
      </c>
      <c r="BV42" s="54">
        <v>74.0</v>
      </c>
      <c r="BW42" s="52">
        <v>62.0</v>
      </c>
      <c r="BX42" s="53">
        <v>98.0</v>
      </c>
      <c r="BY42" s="54">
        <v>92.0</v>
      </c>
      <c r="BZ42" s="52">
        <v>83.0</v>
      </c>
      <c r="CA42" s="53">
        <v>92.0</v>
      </c>
      <c r="CB42" s="54">
        <v>91.0</v>
      </c>
      <c r="CC42" s="52">
        <v>90.0</v>
      </c>
      <c r="CD42" s="53">
        <v>69.0</v>
      </c>
      <c r="CE42" s="54">
        <v>89.0</v>
      </c>
      <c r="CF42" s="52">
        <v>81.0</v>
      </c>
      <c r="CG42" s="53">
        <v>85.0</v>
      </c>
      <c r="CH42" s="54">
        <v>92.0</v>
      </c>
    </row>
    <row r="43">
      <c r="A43" s="47" t="s">
        <v>143</v>
      </c>
      <c r="B43" s="2" t="s">
        <v>144</v>
      </c>
      <c r="C43" s="52">
        <v>90.0</v>
      </c>
      <c r="D43" s="53">
        <v>73.0</v>
      </c>
      <c r="E43" s="54">
        <v>97.0</v>
      </c>
      <c r="F43" s="52">
        <v>72.0</v>
      </c>
      <c r="G43" s="53">
        <v>76.0</v>
      </c>
      <c r="H43" s="54">
        <v>90.0</v>
      </c>
      <c r="I43" s="52">
        <v>74.0</v>
      </c>
      <c r="J43" s="53">
        <v>93.0</v>
      </c>
      <c r="K43" s="54">
        <v>69.0</v>
      </c>
      <c r="L43" s="52">
        <v>68.0</v>
      </c>
      <c r="M43" s="53">
        <v>71.0</v>
      </c>
      <c r="N43" s="54">
        <v>93.0</v>
      </c>
      <c r="O43" s="52">
        <v>96.0</v>
      </c>
      <c r="P43" s="53">
        <v>67.0</v>
      </c>
      <c r="Q43" s="54">
        <v>84.0</v>
      </c>
      <c r="R43" s="52">
        <v>64.0</v>
      </c>
      <c r="S43" s="53">
        <v>83.0</v>
      </c>
      <c r="T43" s="54">
        <v>98.0</v>
      </c>
      <c r="U43" s="52">
        <v>93.0</v>
      </c>
      <c r="V43" s="53">
        <v>79.0</v>
      </c>
      <c r="W43" s="54">
        <v>67.0</v>
      </c>
      <c r="X43" s="52">
        <v>79.0</v>
      </c>
      <c r="Y43" s="53">
        <v>71.0</v>
      </c>
      <c r="Z43" s="54">
        <v>99.0</v>
      </c>
      <c r="AA43" s="52">
        <v>87.0</v>
      </c>
      <c r="AB43" s="53">
        <v>95.0</v>
      </c>
      <c r="AC43" s="54">
        <v>69.0</v>
      </c>
      <c r="AD43" s="52">
        <v>63.0</v>
      </c>
      <c r="AE43" s="53">
        <v>89.0</v>
      </c>
      <c r="AF43" s="54">
        <v>61.0</v>
      </c>
      <c r="AG43" s="52">
        <v>94.0</v>
      </c>
      <c r="AH43" s="53">
        <v>91.0</v>
      </c>
      <c r="AI43" s="54">
        <v>64.0</v>
      </c>
      <c r="AJ43" s="52">
        <v>69.0</v>
      </c>
      <c r="AK43" s="53">
        <v>74.0</v>
      </c>
      <c r="AL43" s="54">
        <v>99.0</v>
      </c>
      <c r="AM43" s="52">
        <v>86.0</v>
      </c>
      <c r="AN43" s="53">
        <v>95.0</v>
      </c>
      <c r="AO43" s="54">
        <v>95.0</v>
      </c>
      <c r="AP43" s="52">
        <v>96.0</v>
      </c>
      <c r="AQ43" s="53">
        <v>89.0</v>
      </c>
      <c r="AR43" s="54">
        <v>67.0</v>
      </c>
      <c r="AS43" s="52">
        <v>92.0</v>
      </c>
      <c r="AT43" s="53">
        <v>88.0</v>
      </c>
      <c r="AU43" s="54">
        <v>77.0</v>
      </c>
      <c r="AV43" s="52">
        <v>65.0</v>
      </c>
      <c r="AW43" s="53">
        <v>67.0</v>
      </c>
      <c r="AX43" s="54">
        <v>63.0</v>
      </c>
      <c r="AY43" s="52">
        <v>81.0</v>
      </c>
      <c r="AZ43" s="53">
        <v>73.0</v>
      </c>
      <c r="BA43" s="54">
        <v>97.0</v>
      </c>
      <c r="BB43" s="52">
        <v>77.0</v>
      </c>
      <c r="BC43" s="53">
        <v>70.0</v>
      </c>
      <c r="BD43" s="54">
        <v>89.0</v>
      </c>
      <c r="BE43" s="52">
        <v>68.0</v>
      </c>
      <c r="BF43" s="53">
        <v>60.0</v>
      </c>
      <c r="BG43" s="54">
        <v>64.0</v>
      </c>
      <c r="BH43" s="52">
        <v>62.0</v>
      </c>
      <c r="BI43" s="53">
        <v>75.0</v>
      </c>
      <c r="BJ43" s="54">
        <v>67.0</v>
      </c>
      <c r="BK43" s="52">
        <v>93.0</v>
      </c>
      <c r="BL43" s="53">
        <v>84.0</v>
      </c>
      <c r="BM43" s="54">
        <v>75.0</v>
      </c>
      <c r="BN43" s="52">
        <v>68.0</v>
      </c>
      <c r="BO43" s="53">
        <v>72.0</v>
      </c>
      <c r="BP43" s="54">
        <v>64.0</v>
      </c>
      <c r="BQ43" s="52">
        <v>90.0</v>
      </c>
      <c r="BR43" s="53">
        <v>76.0</v>
      </c>
      <c r="BS43" s="54">
        <v>67.0</v>
      </c>
      <c r="BT43" s="52">
        <v>62.0</v>
      </c>
      <c r="BU43" s="53">
        <v>82.0</v>
      </c>
      <c r="BV43" s="54">
        <v>81.0</v>
      </c>
      <c r="BW43" s="52">
        <v>68.0</v>
      </c>
      <c r="BX43" s="53">
        <v>60.0</v>
      </c>
      <c r="BY43" s="54">
        <v>75.0</v>
      </c>
      <c r="BZ43" s="52">
        <v>85.0</v>
      </c>
      <c r="CA43" s="53">
        <v>78.0</v>
      </c>
      <c r="CB43" s="54">
        <v>65.0</v>
      </c>
      <c r="CC43" s="52">
        <v>89.0</v>
      </c>
      <c r="CD43" s="53">
        <v>91.0</v>
      </c>
      <c r="CE43" s="54">
        <v>63.0</v>
      </c>
      <c r="CF43" s="52">
        <v>64.0</v>
      </c>
      <c r="CG43" s="53">
        <v>67.0</v>
      </c>
      <c r="CH43" s="54">
        <v>88.0</v>
      </c>
    </row>
    <row r="44">
      <c r="A44" s="47" t="s">
        <v>145</v>
      </c>
      <c r="B44" s="2" t="s">
        <v>146</v>
      </c>
      <c r="C44" s="52">
        <v>60.0</v>
      </c>
      <c r="D44" s="53">
        <v>84.0</v>
      </c>
      <c r="E44" s="54">
        <v>82.0</v>
      </c>
      <c r="F44" s="52">
        <v>81.0</v>
      </c>
      <c r="G44" s="53">
        <v>69.0</v>
      </c>
      <c r="H44" s="54">
        <v>86.0</v>
      </c>
      <c r="I44" s="52">
        <v>65.0</v>
      </c>
      <c r="J44" s="53">
        <v>98.0</v>
      </c>
      <c r="K44" s="54">
        <v>68.0</v>
      </c>
      <c r="L44" s="52">
        <v>77.0</v>
      </c>
      <c r="M44" s="53">
        <v>97.0</v>
      </c>
      <c r="N44" s="54">
        <v>92.0</v>
      </c>
      <c r="O44" s="52">
        <v>89.0</v>
      </c>
      <c r="P44" s="53">
        <v>62.0</v>
      </c>
      <c r="Q44" s="54">
        <v>77.0</v>
      </c>
      <c r="R44" s="52">
        <v>93.0</v>
      </c>
      <c r="S44" s="53">
        <v>94.0</v>
      </c>
      <c r="T44" s="54">
        <v>85.0</v>
      </c>
      <c r="U44" s="52">
        <v>92.0</v>
      </c>
      <c r="V44" s="53">
        <v>81.0</v>
      </c>
      <c r="W44" s="54">
        <v>82.0</v>
      </c>
      <c r="X44" s="52">
        <v>96.0</v>
      </c>
      <c r="Y44" s="53">
        <v>64.0</v>
      </c>
      <c r="Z44" s="54">
        <v>77.0</v>
      </c>
      <c r="AA44" s="52">
        <v>92.0</v>
      </c>
      <c r="AB44" s="53">
        <v>96.0</v>
      </c>
      <c r="AC44" s="54">
        <v>80.0</v>
      </c>
      <c r="AD44" s="52">
        <v>87.0</v>
      </c>
      <c r="AE44" s="53">
        <v>84.0</v>
      </c>
      <c r="AF44" s="54">
        <v>69.0</v>
      </c>
      <c r="AG44" s="52">
        <v>69.0</v>
      </c>
      <c r="AH44" s="53">
        <v>75.0</v>
      </c>
      <c r="AI44" s="54">
        <v>86.0</v>
      </c>
      <c r="AJ44" s="52">
        <v>73.0</v>
      </c>
      <c r="AK44" s="53">
        <v>71.0</v>
      </c>
      <c r="AL44" s="54">
        <v>86.0</v>
      </c>
      <c r="AM44" s="52">
        <v>85.0</v>
      </c>
      <c r="AN44" s="53">
        <v>68.0</v>
      </c>
      <c r="AO44" s="54">
        <v>75.0</v>
      </c>
      <c r="AP44" s="52">
        <v>77.0</v>
      </c>
      <c r="AQ44" s="53">
        <v>76.0</v>
      </c>
      <c r="AR44" s="54">
        <v>71.0</v>
      </c>
      <c r="AS44" s="52">
        <v>82.0</v>
      </c>
      <c r="AT44" s="53">
        <v>67.0</v>
      </c>
      <c r="AU44" s="54">
        <v>98.0</v>
      </c>
      <c r="AV44" s="52">
        <v>83.0</v>
      </c>
      <c r="AW44" s="53">
        <v>83.0</v>
      </c>
      <c r="AX44" s="54">
        <v>84.0</v>
      </c>
      <c r="AY44" s="52">
        <v>63.0</v>
      </c>
      <c r="AZ44" s="53">
        <v>68.0</v>
      </c>
      <c r="BA44" s="54">
        <v>75.0</v>
      </c>
      <c r="BB44" s="52">
        <v>94.0</v>
      </c>
      <c r="BC44" s="53">
        <v>80.0</v>
      </c>
      <c r="BD44" s="54">
        <v>93.0</v>
      </c>
      <c r="BE44" s="52">
        <v>76.0</v>
      </c>
      <c r="BF44" s="53">
        <v>83.0</v>
      </c>
      <c r="BG44" s="54">
        <v>73.0</v>
      </c>
      <c r="BH44" s="52">
        <v>85.0</v>
      </c>
      <c r="BI44" s="53">
        <v>93.0</v>
      </c>
      <c r="BJ44" s="54">
        <v>73.0</v>
      </c>
      <c r="BK44" s="52">
        <v>92.0</v>
      </c>
      <c r="BL44" s="53">
        <v>81.0</v>
      </c>
      <c r="BM44" s="54">
        <v>70.0</v>
      </c>
      <c r="BN44" s="52">
        <v>96.0</v>
      </c>
      <c r="BO44" s="53">
        <v>72.0</v>
      </c>
      <c r="BP44" s="54">
        <v>68.0</v>
      </c>
      <c r="BQ44" s="52">
        <v>79.0</v>
      </c>
      <c r="BR44" s="53">
        <v>73.0</v>
      </c>
      <c r="BS44" s="54">
        <v>83.0</v>
      </c>
      <c r="BT44" s="52">
        <v>71.0</v>
      </c>
      <c r="BU44" s="53">
        <v>96.0</v>
      </c>
      <c r="BV44" s="54">
        <v>62.0</v>
      </c>
      <c r="BW44" s="52">
        <v>95.0</v>
      </c>
      <c r="BX44" s="53">
        <v>62.0</v>
      </c>
      <c r="BY44" s="54">
        <v>73.0</v>
      </c>
      <c r="BZ44" s="52">
        <v>68.0</v>
      </c>
      <c r="CA44" s="53">
        <v>81.0</v>
      </c>
      <c r="CB44" s="54">
        <v>81.0</v>
      </c>
      <c r="CC44" s="52">
        <v>89.0</v>
      </c>
      <c r="CD44" s="53">
        <v>81.0</v>
      </c>
      <c r="CE44" s="54">
        <v>87.0</v>
      </c>
      <c r="CF44" s="52">
        <v>97.0</v>
      </c>
      <c r="CG44" s="53">
        <v>76.0</v>
      </c>
      <c r="CH44" s="54">
        <v>99.0</v>
      </c>
    </row>
    <row r="45">
      <c r="A45" s="47" t="s">
        <v>147</v>
      </c>
      <c r="B45" s="2" t="s">
        <v>148</v>
      </c>
      <c r="C45" s="85">
        <v>95.0</v>
      </c>
      <c r="D45" s="86">
        <v>68.0</v>
      </c>
      <c r="E45" s="87">
        <v>75.0</v>
      </c>
      <c r="F45" s="85">
        <v>76.0</v>
      </c>
      <c r="G45" s="86">
        <v>65.0</v>
      </c>
      <c r="H45" s="87">
        <v>61.0</v>
      </c>
      <c r="I45" s="85">
        <v>69.0</v>
      </c>
      <c r="J45" s="86">
        <v>85.0</v>
      </c>
      <c r="K45" s="87">
        <v>70.0</v>
      </c>
      <c r="L45" s="85">
        <v>76.0</v>
      </c>
      <c r="M45" s="86">
        <v>89.0</v>
      </c>
      <c r="N45" s="87">
        <v>65.0</v>
      </c>
      <c r="O45" s="85">
        <v>73.0</v>
      </c>
      <c r="P45" s="86">
        <v>76.0</v>
      </c>
      <c r="Q45" s="87">
        <v>64.0</v>
      </c>
      <c r="R45" s="85">
        <v>73.0</v>
      </c>
      <c r="S45" s="86">
        <v>96.0</v>
      </c>
      <c r="T45" s="87">
        <v>60.0</v>
      </c>
      <c r="U45" s="85">
        <v>77.0</v>
      </c>
      <c r="V45" s="86">
        <v>77.0</v>
      </c>
      <c r="W45" s="87">
        <v>99.0</v>
      </c>
      <c r="X45" s="85">
        <v>73.0</v>
      </c>
      <c r="Y45" s="86">
        <v>68.0</v>
      </c>
      <c r="Z45" s="87">
        <v>95.0</v>
      </c>
      <c r="AA45" s="85">
        <v>97.0</v>
      </c>
      <c r="AB45" s="86">
        <v>69.0</v>
      </c>
      <c r="AC45" s="87">
        <v>66.0</v>
      </c>
      <c r="AD45" s="85">
        <v>83.0</v>
      </c>
      <c r="AE45" s="86">
        <v>67.0</v>
      </c>
      <c r="AF45" s="87">
        <v>61.0</v>
      </c>
      <c r="AG45" s="85">
        <v>80.0</v>
      </c>
      <c r="AH45" s="86">
        <v>74.0</v>
      </c>
      <c r="AI45" s="87">
        <v>89.0</v>
      </c>
      <c r="AJ45" s="85">
        <v>89.0</v>
      </c>
      <c r="AK45" s="86">
        <v>90.0</v>
      </c>
      <c r="AL45" s="87">
        <v>83.0</v>
      </c>
      <c r="AM45" s="85">
        <v>62.0</v>
      </c>
      <c r="AN45" s="86">
        <v>84.0</v>
      </c>
      <c r="AO45" s="87">
        <v>61.0</v>
      </c>
      <c r="AP45" s="85">
        <v>67.0</v>
      </c>
      <c r="AQ45" s="86">
        <v>62.0</v>
      </c>
      <c r="AR45" s="87">
        <v>74.0</v>
      </c>
      <c r="AS45" s="85">
        <v>87.0</v>
      </c>
      <c r="AT45" s="86">
        <v>86.0</v>
      </c>
      <c r="AU45" s="87">
        <v>76.0</v>
      </c>
      <c r="AV45" s="85">
        <v>66.0</v>
      </c>
      <c r="AW45" s="86">
        <v>80.0</v>
      </c>
      <c r="AX45" s="87">
        <v>83.0</v>
      </c>
      <c r="AY45" s="85">
        <v>95.0</v>
      </c>
      <c r="AZ45" s="86">
        <v>81.0</v>
      </c>
      <c r="BA45" s="87">
        <v>66.0</v>
      </c>
      <c r="BB45" s="85">
        <v>79.0</v>
      </c>
      <c r="BC45" s="86">
        <v>99.0</v>
      </c>
      <c r="BD45" s="87">
        <v>79.0</v>
      </c>
      <c r="BE45" s="85">
        <v>97.0</v>
      </c>
      <c r="BF45" s="86">
        <v>73.0</v>
      </c>
      <c r="BG45" s="87">
        <v>63.0</v>
      </c>
      <c r="BH45" s="85">
        <v>88.0</v>
      </c>
      <c r="BI45" s="86">
        <v>86.0</v>
      </c>
      <c r="BJ45" s="87">
        <v>96.0</v>
      </c>
      <c r="BK45" s="85">
        <v>65.0</v>
      </c>
      <c r="BL45" s="86">
        <v>84.0</v>
      </c>
      <c r="BM45" s="87">
        <v>65.0</v>
      </c>
      <c r="BN45" s="85">
        <v>76.0</v>
      </c>
      <c r="BO45" s="86">
        <v>66.0</v>
      </c>
      <c r="BP45" s="87">
        <v>86.0</v>
      </c>
      <c r="BQ45" s="85">
        <v>98.0</v>
      </c>
      <c r="BR45" s="86">
        <v>97.0</v>
      </c>
      <c r="BS45" s="87">
        <v>79.0</v>
      </c>
      <c r="BT45" s="85">
        <v>72.0</v>
      </c>
      <c r="BU45" s="86">
        <v>94.0</v>
      </c>
      <c r="BV45" s="87">
        <v>99.0</v>
      </c>
      <c r="BW45" s="85">
        <v>88.0</v>
      </c>
      <c r="BX45" s="86">
        <v>66.0</v>
      </c>
      <c r="BY45" s="87">
        <v>97.0</v>
      </c>
      <c r="BZ45" s="85">
        <v>77.0</v>
      </c>
      <c r="CA45" s="86">
        <v>78.0</v>
      </c>
      <c r="CB45" s="87">
        <v>65.0</v>
      </c>
      <c r="CC45" s="85">
        <v>88.0</v>
      </c>
      <c r="CD45" s="86">
        <v>81.0</v>
      </c>
      <c r="CE45" s="87">
        <v>82.0</v>
      </c>
      <c r="CF45" s="85">
        <v>91.0</v>
      </c>
      <c r="CG45" s="86">
        <v>80.0</v>
      </c>
      <c r="CH45" s="87">
        <v>96.0</v>
      </c>
    </row>
    <row r="47">
      <c r="B47" s="1" t="s">
        <v>149</v>
      </c>
      <c r="C47" s="88">
        <f t="shared" ref="C47:CH47" si="1">AVERAGE(C6:C45)</f>
        <v>76.075</v>
      </c>
      <c r="D47" s="88">
        <f t="shared" si="1"/>
        <v>76.35</v>
      </c>
      <c r="E47" s="88">
        <f t="shared" si="1"/>
        <v>79.625</v>
      </c>
      <c r="F47" s="88">
        <f t="shared" si="1"/>
        <v>76.275</v>
      </c>
      <c r="G47" s="88">
        <f t="shared" si="1"/>
        <v>77.625</v>
      </c>
      <c r="H47" s="88">
        <f t="shared" si="1"/>
        <v>80.5</v>
      </c>
      <c r="I47" s="88">
        <f t="shared" si="1"/>
        <v>81.225</v>
      </c>
      <c r="J47" s="88">
        <f t="shared" si="1"/>
        <v>80</v>
      </c>
      <c r="K47" s="88">
        <f t="shared" si="1"/>
        <v>79.85</v>
      </c>
      <c r="L47" s="88">
        <f t="shared" si="1"/>
        <v>77.475</v>
      </c>
      <c r="M47" s="88">
        <f t="shared" si="1"/>
        <v>80.4</v>
      </c>
      <c r="N47" s="88">
        <f t="shared" si="1"/>
        <v>80.6</v>
      </c>
      <c r="O47" s="88">
        <f t="shared" si="1"/>
        <v>79.425</v>
      </c>
      <c r="P47" s="88">
        <f t="shared" si="1"/>
        <v>79.475</v>
      </c>
      <c r="Q47" s="88">
        <f t="shared" si="1"/>
        <v>79.65</v>
      </c>
      <c r="R47" s="88">
        <f t="shared" si="1"/>
        <v>77.65</v>
      </c>
      <c r="S47" s="88">
        <f t="shared" si="1"/>
        <v>81.65</v>
      </c>
      <c r="T47" s="88">
        <f t="shared" si="1"/>
        <v>75.75</v>
      </c>
      <c r="U47" s="88">
        <f t="shared" si="1"/>
        <v>81.25</v>
      </c>
      <c r="V47" s="88">
        <f t="shared" si="1"/>
        <v>77.3</v>
      </c>
      <c r="W47" s="88">
        <f t="shared" si="1"/>
        <v>79.7</v>
      </c>
      <c r="X47" s="88">
        <f t="shared" si="1"/>
        <v>79.85</v>
      </c>
      <c r="Y47" s="88">
        <f t="shared" si="1"/>
        <v>74.925</v>
      </c>
      <c r="Z47" s="88">
        <f t="shared" si="1"/>
        <v>78.675</v>
      </c>
      <c r="AA47" s="88">
        <f t="shared" si="1"/>
        <v>79.775</v>
      </c>
      <c r="AB47" s="88">
        <f t="shared" si="1"/>
        <v>79.7</v>
      </c>
      <c r="AC47" s="88">
        <f t="shared" si="1"/>
        <v>82.15</v>
      </c>
      <c r="AD47" s="88">
        <f t="shared" si="1"/>
        <v>77.975</v>
      </c>
      <c r="AE47" s="88">
        <f t="shared" si="1"/>
        <v>76.55</v>
      </c>
      <c r="AF47" s="88">
        <f t="shared" si="1"/>
        <v>75.45</v>
      </c>
      <c r="AG47" s="88">
        <f t="shared" si="1"/>
        <v>78.45</v>
      </c>
      <c r="AH47" s="88">
        <f t="shared" si="1"/>
        <v>78.825</v>
      </c>
      <c r="AI47" s="88">
        <f t="shared" si="1"/>
        <v>77.55</v>
      </c>
      <c r="AJ47" s="88">
        <f t="shared" si="1"/>
        <v>79.9</v>
      </c>
      <c r="AK47" s="88">
        <f t="shared" si="1"/>
        <v>79</v>
      </c>
      <c r="AL47" s="88">
        <f t="shared" si="1"/>
        <v>79.725</v>
      </c>
      <c r="AM47" s="88">
        <f t="shared" si="1"/>
        <v>85.475</v>
      </c>
      <c r="AN47" s="88">
        <f t="shared" si="1"/>
        <v>80.7</v>
      </c>
      <c r="AO47" s="88">
        <f t="shared" si="1"/>
        <v>79.625</v>
      </c>
      <c r="AP47" s="88">
        <f t="shared" si="1"/>
        <v>80.475</v>
      </c>
      <c r="AQ47" s="88">
        <f t="shared" si="1"/>
        <v>82.75</v>
      </c>
      <c r="AR47" s="88">
        <f t="shared" si="1"/>
        <v>76.675</v>
      </c>
      <c r="AS47" s="88">
        <f t="shared" si="1"/>
        <v>81.075</v>
      </c>
      <c r="AT47" s="88">
        <f t="shared" si="1"/>
        <v>82.45</v>
      </c>
      <c r="AU47" s="88">
        <f t="shared" si="1"/>
        <v>80.3</v>
      </c>
      <c r="AV47" s="88">
        <f t="shared" si="1"/>
        <v>77.825</v>
      </c>
      <c r="AW47" s="88">
        <f t="shared" si="1"/>
        <v>78.15</v>
      </c>
      <c r="AX47" s="88">
        <f t="shared" si="1"/>
        <v>78.65</v>
      </c>
      <c r="AY47" s="88">
        <f t="shared" si="1"/>
        <v>79.65</v>
      </c>
      <c r="AZ47" s="88">
        <f t="shared" si="1"/>
        <v>79.55</v>
      </c>
      <c r="BA47" s="88">
        <f t="shared" si="1"/>
        <v>77.825</v>
      </c>
      <c r="BB47" s="88">
        <f t="shared" si="1"/>
        <v>78.125</v>
      </c>
      <c r="BC47" s="88">
        <f t="shared" si="1"/>
        <v>79.6</v>
      </c>
      <c r="BD47" s="88">
        <f t="shared" si="1"/>
        <v>80.625</v>
      </c>
      <c r="BE47" s="88">
        <f t="shared" si="1"/>
        <v>79.5</v>
      </c>
      <c r="BF47" s="88">
        <f t="shared" si="1"/>
        <v>81.725</v>
      </c>
      <c r="BG47" s="88">
        <f t="shared" si="1"/>
        <v>79.4</v>
      </c>
      <c r="BH47" s="88">
        <f t="shared" si="1"/>
        <v>78.55</v>
      </c>
      <c r="BI47" s="88">
        <f t="shared" si="1"/>
        <v>78.175</v>
      </c>
      <c r="BJ47" s="88">
        <f t="shared" si="1"/>
        <v>79.325</v>
      </c>
      <c r="BK47" s="88">
        <f t="shared" si="1"/>
        <v>77.675</v>
      </c>
      <c r="BL47" s="88">
        <f t="shared" si="1"/>
        <v>78.35</v>
      </c>
      <c r="BM47" s="88">
        <f t="shared" si="1"/>
        <v>77.7</v>
      </c>
      <c r="BN47" s="88">
        <f t="shared" si="1"/>
        <v>78.55</v>
      </c>
      <c r="BO47" s="88">
        <f t="shared" si="1"/>
        <v>78.375</v>
      </c>
      <c r="BP47" s="88">
        <f t="shared" si="1"/>
        <v>76.725</v>
      </c>
      <c r="BQ47" s="88">
        <f t="shared" si="1"/>
        <v>77.975</v>
      </c>
      <c r="BR47" s="88">
        <f t="shared" si="1"/>
        <v>78.875</v>
      </c>
      <c r="BS47" s="88">
        <f t="shared" si="1"/>
        <v>79.525</v>
      </c>
      <c r="BT47" s="88">
        <f t="shared" si="1"/>
        <v>76.75</v>
      </c>
      <c r="BU47" s="88">
        <f t="shared" si="1"/>
        <v>79.475</v>
      </c>
      <c r="BV47" s="88">
        <f t="shared" si="1"/>
        <v>80.375</v>
      </c>
      <c r="BW47" s="88">
        <f t="shared" si="1"/>
        <v>79.7</v>
      </c>
      <c r="BX47" s="88">
        <f t="shared" si="1"/>
        <v>79.875</v>
      </c>
      <c r="BY47" s="88">
        <f t="shared" si="1"/>
        <v>81.125</v>
      </c>
      <c r="BZ47" s="88">
        <f t="shared" si="1"/>
        <v>80.475</v>
      </c>
      <c r="CA47" s="88">
        <f t="shared" si="1"/>
        <v>83.9</v>
      </c>
      <c r="CB47" s="88">
        <f t="shared" si="1"/>
        <v>77.55</v>
      </c>
      <c r="CC47" s="88">
        <f t="shared" si="1"/>
        <v>81.3</v>
      </c>
      <c r="CD47" s="88">
        <f t="shared" si="1"/>
        <v>79.825</v>
      </c>
      <c r="CE47" s="88">
        <f t="shared" si="1"/>
        <v>77.45</v>
      </c>
      <c r="CF47" s="88">
        <f t="shared" si="1"/>
        <v>81.35</v>
      </c>
      <c r="CG47" s="88">
        <f t="shared" si="1"/>
        <v>80.575</v>
      </c>
      <c r="CH47" s="88">
        <f t="shared" si="1"/>
        <v>78.425</v>
      </c>
    </row>
    <row r="48">
      <c r="B48" s="2" t="s">
        <v>150</v>
      </c>
      <c r="C48" s="47">
        <f t="shared" ref="C48:CH48" si="2">COUNTA(C6:C45)</f>
        <v>40</v>
      </c>
      <c r="D48" s="47">
        <f t="shared" si="2"/>
        <v>40</v>
      </c>
      <c r="E48" s="47">
        <f t="shared" si="2"/>
        <v>40</v>
      </c>
      <c r="F48" s="47">
        <f t="shared" si="2"/>
        <v>40</v>
      </c>
      <c r="G48" s="47">
        <f t="shared" si="2"/>
        <v>40</v>
      </c>
      <c r="H48" s="47">
        <f t="shared" si="2"/>
        <v>40</v>
      </c>
      <c r="I48" s="47">
        <f t="shared" si="2"/>
        <v>40</v>
      </c>
      <c r="J48" s="47">
        <f t="shared" si="2"/>
        <v>40</v>
      </c>
      <c r="K48" s="47">
        <f t="shared" si="2"/>
        <v>40</v>
      </c>
      <c r="L48" s="47">
        <f t="shared" si="2"/>
        <v>40</v>
      </c>
      <c r="M48" s="47">
        <f t="shared" si="2"/>
        <v>40</v>
      </c>
      <c r="N48" s="47">
        <f t="shared" si="2"/>
        <v>40</v>
      </c>
      <c r="O48" s="47">
        <f t="shared" si="2"/>
        <v>40</v>
      </c>
      <c r="P48" s="47">
        <f t="shared" si="2"/>
        <v>40</v>
      </c>
      <c r="Q48" s="47">
        <f t="shared" si="2"/>
        <v>40</v>
      </c>
      <c r="R48" s="47">
        <f t="shared" si="2"/>
        <v>40</v>
      </c>
      <c r="S48" s="47">
        <f t="shared" si="2"/>
        <v>40</v>
      </c>
      <c r="T48" s="47">
        <f t="shared" si="2"/>
        <v>40</v>
      </c>
      <c r="U48" s="47">
        <f t="shared" si="2"/>
        <v>40</v>
      </c>
      <c r="V48" s="47">
        <f t="shared" si="2"/>
        <v>40</v>
      </c>
      <c r="W48" s="47">
        <f t="shared" si="2"/>
        <v>40</v>
      </c>
      <c r="X48" s="47">
        <f t="shared" si="2"/>
        <v>40</v>
      </c>
      <c r="Y48" s="47">
        <f t="shared" si="2"/>
        <v>40</v>
      </c>
      <c r="Z48" s="47">
        <f t="shared" si="2"/>
        <v>40</v>
      </c>
      <c r="AA48" s="47">
        <f t="shared" si="2"/>
        <v>40</v>
      </c>
      <c r="AB48" s="47">
        <f t="shared" si="2"/>
        <v>40</v>
      </c>
      <c r="AC48" s="47">
        <f t="shared" si="2"/>
        <v>40</v>
      </c>
      <c r="AD48" s="47">
        <f t="shared" si="2"/>
        <v>40</v>
      </c>
      <c r="AE48" s="47">
        <f t="shared" si="2"/>
        <v>40</v>
      </c>
      <c r="AF48" s="47">
        <f t="shared" si="2"/>
        <v>40</v>
      </c>
      <c r="AG48" s="47">
        <f t="shared" si="2"/>
        <v>40</v>
      </c>
      <c r="AH48" s="47">
        <f t="shared" si="2"/>
        <v>40</v>
      </c>
      <c r="AI48" s="47">
        <f t="shared" si="2"/>
        <v>40</v>
      </c>
      <c r="AJ48" s="47">
        <f t="shared" si="2"/>
        <v>40</v>
      </c>
      <c r="AK48" s="47">
        <f t="shared" si="2"/>
        <v>40</v>
      </c>
      <c r="AL48" s="47">
        <f t="shared" si="2"/>
        <v>40</v>
      </c>
      <c r="AM48" s="47">
        <f t="shared" si="2"/>
        <v>40</v>
      </c>
      <c r="AN48" s="47">
        <f t="shared" si="2"/>
        <v>40</v>
      </c>
      <c r="AO48" s="47">
        <f t="shared" si="2"/>
        <v>40</v>
      </c>
      <c r="AP48" s="47">
        <f t="shared" si="2"/>
        <v>40</v>
      </c>
      <c r="AQ48" s="47">
        <f t="shared" si="2"/>
        <v>40</v>
      </c>
      <c r="AR48" s="47">
        <f t="shared" si="2"/>
        <v>40</v>
      </c>
      <c r="AS48" s="47">
        <f t="shared" si="2"/>
        <v>40</v>
      </c>
      <c r="AT48" s="47">
        <f t="shared" si="2"/>
        <v>40</v>
      </c>
      <c r="AU48" s="47">
        <f t="shared" si="2"/>
        <v>40</v>
      </c>
      <c r="AV48" s="47">
        <f t="shared" si="2"/>
        <v>40</v>
      </c>
      <c r="AW48" s="47">
        <f t="shared" si="2"/>
        <v>40</v>
      </c>
      <c r="AX48" s="47">
        <f t="shared" si="2"/>
        <v>40</v>
      </c>
      <c r="AY48" s="47">
        <f t="shared" si="2"/>
        <v>40</v>
      </c>
      <c r="AZ48" s="47">
        <f t="shared" si="2"/>
        <v>40</v>
      </c>
      <c r="BA48" s="47">
        <f t="shared" si="2"/>
        <v>40</v>
      </c>
      <c r="BB48" s="47">
        <f t="shared" si="2"/>
        <v>40</v>
      </c>
      <c r="BC48" s="47">
        <f t="shared" si="2"/>
        <v>40</v>
      </c>
      <c r="BD48" s="47">
        <f t="shared" si="2"/>
        <v>40</v>
      </c>
      <c r="BE48" s="47">
        <f t="shared" si="2"/>
        <v>40</v>
      </c>
      <c r="BF48" s="47">
        <f t="shared" si="2"/>
        <v>40</v>
      </c>
      <c r="BG48" s="47">
        <f t="shared" si="2"/>
        <v>40</v>
      </c>
      <c r="BH48" s="47">
        <f t="shared" si="2"/>
        <v>40</v>
      </c>
      <c r="BI48" s="47">
        <f t="shared" si="2"/>
        <v>40</v>
      </c>
      <c r="BJ48" s="47">
        <f t="shared" si="2"/>
        <v>40</v>
      </c>
      <c r="BK48" s="47">
        <f t="shared" si="2"/>
        <v>40</v>
      </c>
      <c r="BL48" s="47">
        <f t="shared" si="2"/>
        <v>40</v>
      </c>
      <c r="BM48" s="47">
        <f t="shared" si="2"/>
        <v>40</v>
      </c>
      <c r="BN48" s="47">
        <f t="shared" si="2"/>
        <v>40</v>
      </c>
      <c r="BO48" s="47">
        <f t="shared" si="2"/>
        <v>40</v>
      </c>
      <c r="BP48" s="47">
        <f t="shared" si="2"/>
        <v>40</v>
      </c>
      <c r="BQ48" s="47">
        <f t="shared" si="2"/>
        <v>40</v>
      </c>
      <c r="BR48" s="47">
        <f t="shared" si="2"/>
        <v>40</v>
      </c>
      <c r="BS48" s="47">
        <f t="shared" si="2"/>
        <v>40</v>
      </c>
      <c r="BT48" s="47">
        <f t="shared" si="2"/>
        <v>40</v>
      </c>
      <c r="BU48" s="47">
        <f t="shared" si="2"/>
        <v>40</v>
      </c>
      <c r="BV48" s="47">
        <f t="shared" si="2"/>
        <v>40</v>
      </c>
      <c r="BW48" s="47">
        <f t="shared" si="2"/>
        <v>40</v>
      </c>
      <c r="BX48" s="47">
        <f t="shared" si="2"/>
        <v>40</v>
      </c>
      <c r="BY48" s="47">
        <f t="shared" si="2"/>
        <v>40</v>
      </c>
      <c r="BZ48" s="47">
        <f t="shared" si="2"/>
        <v>40</v>
      </c>
      <c r="CA48" s="47">
        <f t="shared" si="2"/>
        <v>40</v>
      </c>
      <c r="CB48" s="47">
        <f t="shared" si="2"/>
        <v>40</v>
      </c>
      <c r="CC48" s="47">
        <f t="shared" si="2"/>
        <v>40</v>
      </c>
      <c r="CD48" s="47">
        <f t="shared" si="2"/>
        <v>40</v>
      </c>
      <c r="CE48" s="47">
        <f t="shared" si="2"/>
        <v>40</v>
      </c>
      <c r="CF48" s="47">
        <f t="shared" si="2"/>
        <v>40</v>
      </c>
      <c r="CG48" s="47">
        <f t="shared" si="2"/>
        <v>40</v>
      </c>
      <c r="CH48" s="47">
        <f t="shared" si="2"/>
        <v>40</v>
      </c>
    </row>
    <row r="49">
      <c r="B49" s="2" t="s">
        <v>151</v>
      </c>
      <c r="C49" s="47">
        <f t="shared" ref="C49:CH49" si="3">COUNTIF(C6:C45, "&gt;=70")</f>
        <v>22</v>
      </c>
      <c r="D49" s="47">
        <f t="shared" si="3"/>
        <v>28</v>
      </c>
      <c r="E49" s="47">
        <f t="shared" si="3"/>
        <v>35</v>
      </c>
      <c r="F49" s="47">
        <f t="shared" si="3"/>
        <v>28</v>
      </c>
      <c r="G49" s="47">
        <f t="shared" si="3"/>
        <v>27</v>
      </c>
      <c r="H49" s="47">
        <f t="shared" si="3"/>
        <v>32</v>
      </c>
      <c r="I49" s="47">
        <f t="shared" si="3"/>
        <v>31</v>
      </c>
      <c r="J49" s="47">
        <f t="shared" si="3"/>
        <v>27</v>
      </c>
      <c r="K49" s="47">
        <f t="shared" si="3"/>
        <v>28</v>
      </c>
      <c r="L49" s="47">
        <f t="shared" si="3"/>
        <v>29</v>
      </c>
      <c r="M49" s="47">
        <f t="shared" si="3"/>
        <v>31</v>
      </c>
      <c r="N49" s="47">
        <f t="shared" si="3"/>
        <v>29</v>
      </c>
      <c r="O49" s="47">
        <f t="shared" si="3"/>
        <v>30</v>
      </c>
      <c r="P49" s="47">
        <f t="shared" si="3"/>
        <v>29</v>
      </c>
      <c r="Q49" s="47">
        <f t="shared" si="3"/>
        <v>29</v>
      </c>
      <c r="R49" s="47">
        <f t="shared" si="3"/>
        <v>27</v>
      </c>
      <c r="S49" s="47">
        <f t="shared" si="3"/>
        <v>34</v>
      </c>
      <c r="T49" s="47">
        <f t="shared" si="3"/>
        <v>25</v>
      </c>
      <c r="U49" s="47">
        <f t="shared" si="3"/>
        <v>29</v>
      </c>
      <c r="V49" s="47">
        <f t="shared" si="3"/>
        <v>28</v>
      </c>
      <c r="W49" s="47">
        <f t="shared" si="3"/>
        <v>31</v>
      </c>
      <c r="X49" s="47">
        <f t="shared" si="3"/>
        <v>33</v>
      </c>
      <c r="Y49" s="47">
        <f t="shared" si="3"/>
        <v>25</v>
      </c>
      <c r="Z49" s="47">
        <f t="shared" si="3"/>
        <v>28</v>
      </c>
      <c r="AA49" s="47">
        <f t="shared" si="3"/>
        <v>29</v>
      </c>
      <c r="AB49" s="47">
        <f t="shared" si="3"/>
        <v>30</v>
      </c>
      <c r="AC49" s="47">
        <f t="shared" si="3"/>
        <v>33</v>
      </c>
      <c r="AD49" s="47">
        <f t="shared" si="3"/>
        <v>26</v>
      </c>
      <c r="AE49" s="47">
        <f t="shared" si="3"/>
        <v>25</v>
      </c>
      <c r="AF49" s="47">
        <f t="shared" si="3"/>
        <v>25</v>
      </c>
      <c r="AG49" s="47">
        <f t="shared" si="3"/>
        <v>28</v>
      </c>
      <c r="AH49" s="47">
        <f t="shared" si="3"/>
        <v>27</v>
      </c>
      <c r="AI49" s="47">
        <f t="shared" si="3"/>
        <v>27</v>
      </c>
      <c r="AJ49" s="47">
        <f t="shared" si="3"/>
        <v>36</v>
      </c>
      <c r="AK49" s="47">
        <f t="shared" si="3"/>
        <v>29</v>
      </c>
      <c r="AL49" s="47">
        <f t="shared" si="3"/>
        <v>29</v>
      </c>
      <c r="AM49" s="47">
        <f t="shared" si="3"/>
        <v>36</v>
      </c>
      <c r="AN49" s="47">
        <f t="shared" si="3"/>
        <v>27</v>
      </c>
      <c r="AO49" s="47">
        <f t="shared" si="3"/>
        <v>32</v>
      </c>
      <c r="AP49" s="47">
        <f t="shared" si="3"/>
        <v>32</v>
      </c>
      <c r="AQ49" s="47">
        <f t="shared" si="3"/>
        <v>34</v>
      </c>
      <c r="AR49" s="47">
        <f t="shared" si="3"/>
        <v>29</v>
      </c>
      <c r="AS49" s="47">
        <f t="shared" si="3"/>
        <v>31</v>
      </c>
      <c r="AT49" s="47">
        <f t="shared" si="3"/>
        <v>32</v>
      </c>
      <c r="AU49" s="47">
        <f t="shared" si="3"/>
        <v>32</v>
      </c>
      <c r="AV49" s="47">
        <f t="shared" si="3"/>
        <v>28</v>
      </c>
      <c r="AW49" s="47">
        <f t="shared" si="3"/>
        <v>29</v>
      </c>
      <c r="AX49" s="47">
        <f t="shared" si="3"/>
        <v>28</v>
      </c>
      <c r="AY49" s="47">
        <f t="shared" si="3"/>
        <v>29</v>
      </c>
      <c r="AZ49" s="47">
        <f t="shared" si="3"/>
        <v>30</v>
      </c>
      <c r="BA49" s="47">
        <f t="shared" si="3"/>
        <v>25</v>
      </c>
      <c r="BB49" s="47">
        <f t="shared" si="3"/>
        <v>29</v>
      </c>
      <c r="BC49" s="47">
        <f t="shared" si="3"/>
        <v>30</v>
      </c>
      <c r="BD49" s="47">
        <f t="shared" si="3"/>
        <v>34</v>
      </c>
      <c r="BE49" s="47">
        <f t="shared" si="3"/>
        <v>30</v>
      </c>
      <c r="BF49" s="47">
        <f t="shared" si="3"/>
        <v>33</v>
      </c>
      <c r="BG49" s="47">
        <f t="shared" si="3"/>
        <v>27</v>
      </c>
      <c r="BH49" s="47">
        <f t="shared" si="3"/>
        <v>29</v>
      </c>
      <c r="BI49" s="47">
        <f t="shared" si="3"/>
        <v>27</v>
      </c>
      <c r="BJ49" s="47">
        <f t="shared" si="3"/>
        <v>30</v>
      </c>
      <c r="BK49" s="47">
        <f t="shared" si="3"/>
        <v>24</v>
      </c>
      <c r="BL49" s="47">
        <f t="shared" si="3"/>
        <v>28</v>
      </c>
      <c r="BM49" s="47">
        <f t="shared" si="3"/>
        <v>29</v>
      </c>
      <c r="BN49" s="47">
        <f t="shared" si="3"/>
        <v>27</v>
      </c>
      <c r="BO49" s="47">
        <f t="shared" si="3"/>
        <v>26</v>
      </c>
      <c r="BP49" s="47">
        <f t="shared" si="3"/>
        <v>23</v>
      </c>
      <c r="BQ49" s="47">
        <f t="shared" si="3"/>
        <v>30</v>
      </c>
      <c r="BR49" s="47">
        <f t="shared" si="3"/>
        <v>30</v>
      </c>
      <c r="BS49" s="47">
        <f t="shared" si="3"/>
        <v>30</v>
      </c>
      <c r="BT49" s="47">
        <f t="shared" si="3"/>
        <v>28</v>
      </c>
      <c r="BU49" s="47">
        <f t="shared" si="3"/>
        <v>32</v>
      </c>
      <c r="BV49" s="47">
        <f t="shared" si="3"/>
        <v>30</v>
      </c>
      <c r="BW49" s="47">
        <f t="shared" si="3"/>
        <v>28</v>
      </c>
      <c r="BX49" s="47">
        <f t="shared" si="3"/>
        <v>30</v>
      </c>
      <c r="BY49" s="47">
        <f t="shared" si="3"/>
        <v>32</v>
      </c>
      <c r="BZ49" s="47">
        <f t="shared" si="3"/>
        <v>33</v>
      </c>
      <c r="CA49" s="47">
        <f t="shared" si="3"/>
        <v>34</v>
      </c>
      <c r="CB49" s="47">
        <f t="shared" si="3"/>
        <v>29</v>
      </c>
      <c r="CC49" s="47">
        <f t="shared" si="3"/>
        <v>32</v>
      </c>
      <c r="CD49" s="47">
        <f t="shared" si="3"/>
        <v>31</v>
      </c>
      <c r="CE49" s="47">
        <f t="shared" si="3"/>
        <v>31</v>
      </c>
      <c r="CF49" s="47">
        <f t="shared" si="3"/>
        <v>32</v>
      </c>
      <c r="CG49" s="47">
        <f t="shared" si="3"/>
        <v>29</v>
      </c>
      <c r="CH49" s="47">
        <f t="shared" si="3"/>
        <v>29</v>
      </c>
    </row>
    <row r="50">
      <c r="B50" s="1" t="s">
        <v>49</v>
      </c>
      <c r="C50" s="88">
        <f t="shared" ref="C50:CH50" si="4">COUNTIF(C6:C45, "&gt;=70")/COUNTA(C6:C45) * 100</f>
        <v>55</v>
      </c>
      <c r="D50" s="88">
        <f t="shared" si="4"/>
        <v>70</v>
      </c>
      <c r="E50" s="88">
        <f t="shared" si="4"/>
        <v>87.5</v>
      </c>
      <c r="F50" s="88">
        <f t="shared" si="4"/>
        <v>70</v>
      </c>
      <c r="G50" s="88">
        <f t="shared" si="4"/>
        <v>67.5</v>
      </c>
      <c r="H50" s="88">
        <f t="shared" si="4"/>
        <v>80</v>
      </c>
      <c r="I50" s="88">
        <f t="shared" si="4"/>
        <v>77.5</v>
      </c>
      <c r="J50" s="88">
        <f t="shared" si="4"/>
        <v>67.5</v>
      </c>
      <c r="K50" s="88">
        <f t="shared" si="4"/>
        <v>70</v>
      </c>
      <c r="L50" s="88">
        <f t="shared" si="4"/>
        <v>72.5</v>
      </c>
      <c r="M50" s="88">
        <f t="shared" si="4"/>
        <v>77.5</v>
      </c>
      <c r="N50" s="88">
        <f t="shared" si="4"/>
        <v>72.5</v>
      </c>
      <c r="O50" s="88">
        <f t="shared" si="4"/>
        <v>75</v>
      </c>
      <c r="P50" s="88">
        <f t="shared" si="4"/>
        <v>72.5</v>
      </c>
      <c r="Q50" s="88">
        <f t="shared" si="4"/>
        <v>72.5</v>
      </c>
      <c r="R50" s="88">
        <f t="shared" si="4"/>
        <v>67.5</v>
      </c>
      <c r="S50" s="88">
        <f t="shared" si="4"/>
        <v>85</v>
      </c>
      <c r="T50" s="88">
        <f t="shared" si="4"/>
        <v>62.5</v>
      </c>
      <c r="U50" s="88">
        <f t="shared" si="4"/>
        <v>72.5</v>
      </c>
      <c r="V50" s="88">
        <f t="shared" si="4"/>
        <v>70</v>
      </c>
      <c r="W50" s="88">
        <f t="shared" si="4"/>
        <v>77.5</v>
      </c>
      <c r="X50" s="88">
        <f t="shared" si="4"/>
        <v>82.5</v>
      </c>
      <c r="Y50" s="88">
        <f t="shared" si="4"/>
        <v>62.5</v>
      </c>
      <c r="Z50" s="88">
        <f t="shared" si="4"/>
        <v>70</v>
      </c>
      <c r="AA50" s="88">
        <f t="shared" si="4"/>
        <v>72.5</v>
      </c>
      <c r="AB50" s="88">
        <f t="shared" si="4"/>
        <v>75</v>
      </c>
      <c r="AC50" s="88">
        <f t="shared" si="4"/>
        <v>82.5</v>
      </c>
      <c r="AD50" s="88">
        <f t="shared" si="4"/>
        <v>65</v>
      </c>
      <c r="AE50" s="88">
        <f t="shared" si="4"/>
        <v>62.5</v>
      </c>
      <c r="AF50" s="88">
        <f t="shared" si="4"/>
        <v>62.5</v>
      </c>
      <c r="AG50" s="88">
        <f t="shared" si="4"/>
        <v>70</v>
      </c>
      <c r="AH50" s="88">
        <f t="shared" si="4"/>
        <v>67.5</v>
      </c>
      <c r="AI50" s="88">
        <f t="shared" si="4"/>
        <v>67.5</v>
      </c>
      <c r="AJ50" s="88">
        <f t="shared" si="4"/>
        <v>90</v>
      </c>
      <c r="AK50" s="88">
        <f t="shared" si="4"/>
        <v>72.5</v>
      </c>
      <c r="AL50" s="88">
        <f t="shared" si="4"/>
        <v>72.5</v>
      </c>
      <c r="AM50" s="88">
        <f t="shared" si="4"/>
        <v>90</v>
      </c>
      <c r="AN50" s="88">
        <f t="shared" si="4"/>
        <v>67.5</v>
      </c>
      <c r="AO50" s="88">
        <f t="shared" si="4"/>
        <v>80</v>
      </c>
      <c r="AP50" s="88">
        <f t="shared" si="4"/>
        <v>80</v>
      </c>
      <c r="AQ50" s="88">
        <f t="shared" si="4"/>
        <v>85</v>
      </c>
      <c r="AR50" s="88">
        <f t="shared" si="4"/>
        <v>72.5</v>
      </c>
      <c r="AS50" s="88">
        <f t="shared" si="4"/>
        <v>77.5</v>
      </c>
      <c r="AT50" s="88">
        <f t="shared" si="4"/>
        <v>80</v>
      </c>
      <c r="AU50" s="88">
        <f t="shared" si="4"/>
        <v>80</v>
      </c>
      <c r="AV50" s="88">
        <f t="shared" si="4"/>
        <v>70</v>
      </c>
      <c r="AW50" s="88">
        <f t="shared" si="4"/>
        <v>72.5</v>
      </c>
      <c r="AX50" s="88">
        <f t="shared" si="4"/>
        <v>70</v>
      </c>
      <c r="AY50" s="88">
        <f t="shared" si="4"/>
        <v>72.5</v>
      </c>
      <c r="AZ50" s="88">
        <f t="shared" si="4"/>
        <v>75</v>
      </c>
      <c r="BA50" s="88">
        <f t="shared" si="4"/>
        <v>62.5</v>
      </c>
      <c r="BB50" s="88">
        <f t="shared" si="4"/>
        <v>72.5</v>
      </c>
      <c r="BC50" s="88">
        <f t="shared" si="4"/>
        <v>75</v>
      </c>
      <c r="BD50" s="88">
        <f t="shared" si="4"/>
        <v>85</v>
      </c>
      <c r="BE50" s="88">
        <f t="shared" si="4"/>
        <v>75</v>
      </c>
      <c r="BF50" s="88">
        <f t="shared" si="4"/>
        <v>82.5</v>
      </c>
      <c r="BG50" s="88">
        <f t="shared" si="4"/>
        <v>67.5</v>
      </c>
      <c r="BH50" s="88">
        <f t="shared" si="4"/>
        <v>72.5</v>
      </c>
      <c r="BI50" s="88">
        <f t="shared" si="4"/>
        <v>67.5</v>
      </c>
      <c r="BJ50" s="88">
        <f t="shared" si="4"/>
        <v>75</v>
      </c>
      <c r="BK50" s="88">
        <f t="shared" si="4"/>
        <v>60</v>
      </c>
      <c r="BL50" s="88">
        <f t="shared" si="4"/>
        <v>70</v>
      </c>
      <c r="BM50" s="88">
        <f t="shared" si="4"/>
        <v>72.5</v>
      </c>
      <c r="BN50" s="88">
        <f t="shared" si="4"/>
        <v>67.5</v>
      </c>
      <c r="BO50" s="88">
        <f t="shared" si="4"/>
        <v>65</v>
      </c>
      <c r="BP50" s="88">
        <f t="shared" si="4"/>
        <v>57.5</v>
      </c>
      <c r="BQ50" s="88">
        <f t="shared" si="4"/>
        <v>75</v>
      </c>
      <c r="BR50" s="88">
        <f t="shared" si="4"/>
        <v>75</v>
      </c>
      <c r="BS50" s="88">
        <f t="shared" si="4"/>
        <v>75</v>
      </c>
      <c r="BT50" s="88">
        <f t="shared" si="4"/>
        <v>70</v>
      </c>
      <c r="BU50" s="88">
        <f t="shared" si="4"/>
        <v>80</v>
      </c>
      <c r="BV50" s="88">
        <f t="shared" si="4"/>
        <v>75</v>
      </c>
      <c r="BW50" s="88">
        <f t="shared" si="4"/>
        <v>70</v>
      </c>
      <c r="BX50" s="88">
        <f t="shared" si="4"/>
        <v>75</v>
      </c>
      <c r="BY50" s="88">
        <f t="shared" si="4"/>
        <v>80</v>
      </c>
      <c r="BZ50" s="88">
        <f t="shared" si="4"/>
        <v>82.5</v>
      </c>
      <c r="CA50" s="88">
        <f t="shared" si="4"/>
        <v>85</v>
      </c>
      <c r="CB50" s="88">
        <f t="shared" si="4"/>
        <v>72.5</v>
      </c>
      <c r="CC50" s="88">
        <f t="shared" si="4"/>
        <v>80</v>
      </c>
      <c r="CD50" s="88">
        <f t="shared" si="4"/>
        <v>77.5</v>
      </c>
      <c r="CE50" s="88">
        <f t="shared" si="4"/>
        <v>77.5</v>
      </c>
      <c r="CF50" s="88">
        <f t="shared" si="4"/>
        <v>80</v>
      </c>
      <c r="CG50" s="88">
        <f t="shared" si="4"/>
        <v>72.5</v>
      </c>
      <c r="CH50" s="88">
        <f t="shared" si="4"/>
        <v>72.5</v>
      </c>
    </row>
    <row r="51">
      <c r="B51" s="2" t="s">
        <v>152</v>
      </c>
      <c r="C51" s="89" t="str">
        <f t="shared" ref="C51:CH51" si="5">IF(C50&gt;=70, "✅", "❌")</f>
        <v>❌</v>
      </c>
      <c r="D51" s="89" t="str">
        <f t="shared" si="5"/>
        <v>✅</v>
      </c>
      <c r="E51" s="89" t="str">
        <f t="shared" si="5"/>
        <v>✅</v>
      </c>
      <c r="F51" s="89" t="str">
        <f t="shared" si="5"/>
        <v>✅</v>
      </c>
      <c r="G51" s="89" t="str">
        <f t="shared" si="5"/>
        <v>❌</v>
      </c>
      <c r="H51" s="89" t="str">
        <f t="shared" si="5"/>
        <v>✅</v>
      </c>
      <c r="I51" s="89" t="str">
        <f t="shared" si="5"/>
        <v>✅</v>
      </c>
      <c r="J51" s="89" t="str">
        <f t="shared" si="5"/>
        <v>❌</v>
      </c>
      <c r="K51" s="89" t="str">
        <f t="shared" si="5"/>
        <v>✅</v>
      </c>
      <c r="L51" s="89" t="str">
        <f t="shared" si="5"/>
        <v>✅</v>
      </c>
      <c r="M51" s="89" t="str">
        <f t="shared" si="5"/>
        <v>✅</v>
      </c>
      <c r="N51" s="89" t="str">
        <f t="shared" si="5"/>
        <v>✅</v>
      </c>
      <c r="O51" s="89" t="str">
        <f t="shared" si="5"/>
        <v>✅</v>
      </c>
      <c r="P51" s="89" t="str">
        <f t="shared" si="5"/>
        <v>✅</v>
      </c>
      <c r="Q51" s="89" t="str">
        <f t="shared" si="5"/>
        <v>✅</v>
      </c>
      <c r="R51" s="89" t="str">
        <f t="shared" si="5"/>
        <v>❌</v>
      </c>
      <c r="S51" s="89" t="str">
        <f t="shared" si="5"/>
        <v>✅</v>
      </c>
      <c r="T51" s="89" t="str">
        <f t="shared" si="5"/>
        <v>❌</v>
      </c>
      <c r="U51" s="89" t="str">
        <f t="shared" si="5"/>
        <v>✅</v>
      </c>
      <c r="V51" s="89" t="str">
        <f t="shared" si="5"/>
        <v>✅</v>
      </c>
      <c r="W51" s="89" t="str">
        <f t="shared" si="5"/>
        <v>✅</v>
      </c>
      <c r="X51" s="89" t="str">
        <f t="shared" si="5"/>
        <v>✅</v>
      </c>
      <c r="Y51" s="89" t="str">
        <f t="shared" si="5"/>
        <v>❌</v>
      </c>
      <c r="Z51" s="89" t="str">
        <f t="shared" si="5"/>
        <v>✅</v>
      </c>
      <c r="AA51" s="89" t="str">
        <f t="shared" si="5"/>
        <v>✅</v>
      </c>
      <c r="AB51" s="89" t="str">
        <f t="shared" si="5"/>
        <v>✅</v>
      </c>
      <c r="AC51" s="89" t="str">
        <f t="shared" si="5"/>
        <v>✅</v>
      </c>
      <c r="AD51" s="89" t="str">
        <f t="shared" si="5"/>
        <v>❌</v>
      </c>
      <c r="AE51" s="89" t="str">
        <f t="shared" si="5"/>
        <v>❌</v>
      </c>
      <c r="AF51" s="89" t="str">
        <f t="shared" si="5"/>
        <v>❌</v>
      </c>
      <c r="AG51" s="89" t="str">
        <f t="shared" si="5"/>
        <v>✅</v>
      </c>
      <c r="AH51" s="89" t="str">
        <f t="shared" si="5"/>
        <v>❌</v>
      </c>
      <c r="AI51" s="89" t="str">
        <f t="shared" si="5"/>
        <v>❌</v>
      </c>
      <c r="AJ51" s="89" t="str">
        <f t="shared" si="5"/>
        <v>✅</v>
      </c>
      <c r="AK51" s="89" t="str">
        <f t="shared" si="5"/>
        <v>✅</v>
      </c>
      <c r="AL51" s="89" t="str">
        <f t="shared" si="5"/>
        <v>✅</v>
      </c>
      <c r="AM51" s="89" t="str">
        <f t="shared" si="5"/>
        <v>✅</v>
      </c>
      <c r="AN51" s="89" t="str">
        <f t="shared" si="5"/>
        <v>❌</v>
      </c>
      <c r="AO51" s="89" t="str">
        <f t="shared" si="5"/>
        <v>✅</v>
      </c>
      <c r="AP51" s="89" t="str">
        <f t="shared" si="5"/>
        <v>✅</v>
      </c>
      <c r="AQ51" s="89" t="str">
        <f t="shared" si="5"/>
        <v>✅</v>
      </c>
      <c r="AR51" s="89" t="str">
        <f t="shared" si="5"/>
        <v>✅</v>
      </c>
      <c r="AS51" s="89" t="str">
        <f t="shared" si="5"/>
        <v>✅</v>
      </c>
      <c r="AT51" s="89" t="str">
        <f t="shared" si="5"/>
        <v>✅</v>
      </c>
      <c r="AU51" s="89" t="str">
        <f t="shared" si="5"/>
        <v>✅</v>
      </c>
      <c r="AV51" s="89" t="str">
        <f t="shared" si="5"/>
        <v>✅</v>
      </c>
      <c r="AW51" s="89" t="str">
        <f t="shared" si="5"/>
        <v>✅</v>
      </c>
      <c r="AX51" s="89" t="str">
        <f t="shared" si="5"/>
        <v>✅</v>
      </c>
      <c r="AY51" s="89" t="str">
        <f t="shared" si="5"/>
        <v>✅</v>
      </c>
      <c r="AZ51" s="89" t="str">
        <f t="shared" si="5"/>
        <v>✅</v>
      </c>
      <c r="BA51" s="89" t="str">
        <f t="shared" si="5"/>
        <v>❌</v>
      </c>
      <c r="BB51" s="89" t="str">
        <f t="shared" si="5"/>
        <v>✅</v>
      </c>
      <c r="BC51" s="89" t="str">
        <f t="shared" si="5"/>
        <v>✅</v>
      </c>
      <c r="BD51" s="89" t="str">
        <f t="shared" si="5"/>
        <v>✅</v>
      </c>
      <c r="BE51" s="89" t="str">
        <f t="shared" si="5"/>
        <v>✅</v>
      </c>
      <c r="BF51" s="89" t="str">
        <f t="shared" si="5"/>
        <v>✅</v>
      </c>
      <c r="BG51" s="89" t="str">
        <f t="shared" si="5"/>
        <v>❌</v>
      </c>
      <c r="BH51" s="89" t="str">
        <f t="shared" si="5"/>
        <v>✅</v>
      </c>
      <c r="BI51" s="89" t="str">
        <f t="shared" si="5"/>
        <v>❌</v>
      </c>
      <c r="BJ51" s="89" t="str">
        <f t="shared" si="5"/>
        <v>✅</v>
      </c>
      <c r="BK51" s="89" t="str">
        <f t="shared" si="5"/>
        <v>❌</v>
      </c>
      <c r="BL51" s="89" t="str">
        <f t="shared" si="5"/>
        <v>✅</v>
      </c>
      <c r="BM51" s="89" t="str">
        <f t="shared" si="5"/>
        <v>✅</v>
      </c>
      <c r="BN51" s="89" t="str">
        <f t="shared" si="5"/>
        <v>❌</v>
      </c>
      <c r="BO51" s="89" t="str">
        <f t="shared" si="5"/>
        <v>❌</v>
      </c>
      <c r="BP51" s="89" t="str">
        <f t="shared" si="5"/>
        <v>❌</v>
      </c>
      <c r="BQ51" s="89" t="str">
        <f t="shared" si="5"/>
        <v>✅</v>
      </c>
      <c r="BR51" s="89" t="str">
        <f t="shared" si="5"/>
        <v>✅</v>
      </c>
      <c r="BS51" s="89" t="str">
        <f t="shared" si="5"/>
        <v>✅</v>
      </c>
      <c r="BT51" s="89" t="str">
        <f t="shared" si="5"/>
        <v>✅</v>
      </c>
      <c r="BU51" s="89" t="str">
        <f t="shared" si="5"/>
        <v>✅</v>
      </c>
      <c r="BV51" s="89" t="str">
        <f t="shared" si="5"/>
        <v>✅</v>
      </c>
      <c r="BW51" s="89" t="str">
        <f t="shared" si="5"/>
        <v>✅</v>
      </c>
      <c r="BX51" s="89" t="str">
        <f t="shared" si="5"/>
        <v>✅</v>
      </c>
      <c r="BY51" s="89" t="str">
        <f t="shared" si="5"/>
        <v>✅</v>
      </c>
      <c r="BZ51" s="89" t="str">
        <f t="shared" si="5"/>
        <v>✅</v>
      </c>
      <c r="CA51" s="89" t="str">
        <f t="shared" si="5"/>
        <v>✅</v>
      </c>
      <c r="CB51" s="89" t="str">
        <f t="shared" si="5"/>
        <v>✅</v>
      </c>
      <c r="CC51" s="89" t="str">
        <f t="shared" si="5"/>
        <v>✅</v>
      </c>
      <c r="CD51" s="89" t="str">
        <f t="shared" si="5"/>
        <v>✅</v>
      </c>
      <c r="CE51" s="89" t="str">
        <f t="shared" si="5"/>
        <v>✅</v>
      </c>
      <c r="CF51" s="89" t="str">
        <f t="shared" si="5"/>
        <v>✅</v>
      </c>
      <c r="CG51" s="89" t="str">
        <f t="shared" si="5"/>
        <v>✅</v>
      </c>
      <c r="CH51" s="89" t="str">
        <f t="shared" si="5"/>
        <v>✅</v>
      </c>
    </row>
    <row r="53">
      <c r="A53" s="90"/>
      <c r="B53" s="91"/>
    </row>
    <row r="54">
      <c r="A54" s="1" t="s">
        <v>153</v>
      </c>
    </row>
    <row r="55">
      <c r="A55" s="2" t="s">
        <v>154</v>
      </c>
    </row>
    <row r="56">
      <c r="B56" s="2" t="s">
        <v>155</v>
      </c>
    </row>
    <row r="57">
      <c r="B57" s="2" t="s">
        <v>156</v>
      </c>
    </row>
    <row r="58">
      <c r="A58" s="2" t="s">
        <v>157</v>
      </c>
    </row>
    <row r="59">
      <c r="B59" s="2" t="s">
        <v>158</v>
      </c>
    </row>
    <row r="60">
      <c r="B60" s="2" t="s">
        <v>159</v>
      </c>
    </row>
    <row r="61">
      <c r="A61" s="2" t="s">
        <v>160</v>
      </c>
    </row>
    <row r="62">
      <c r="A62" s="90"/>
      <c r="B62" s="90"/>
    </row>
    <row r="63">
      <c r="A63" s="90"/>
      <c r="B63" s="90"/>
    </row>
    <row r="64">
      <c r="A64" s="90"/>
      <c r="B64" s="90"/>
    </row>
    <row r="65">
      <c r="A65" s="90"/>
      <c r="B65" s="90"/>
    </row>
    <row r="66">
      <c r="A66" s="90"/>
      <c r="B66" s="90"/>
    </row>
    <row r="67">
      <c r="A67" s="90"/>
      <c r="B67" s="90"/>
    </row>
    <row r="68">
      <c r="A68" s="90"/>
      <c r="B68" s="90"/>
    </row>
    <row r="69">
      <c r="A69" s="90"/>
      <c r="B69" s="90"/>
    </row>
    <row r="70">
      <c r="A70" s="90"/>
      <c r="B70" s="90"/>
    </row>
    <row r="71">
      <c r="A71" s="90"/>
      <c r="B71" s="90"/>
    </row>
    <row r="72">
      <c r="A72" s="90"/>
      <c r="B72" s="90"/>
    </row>
    <row r="73">
      <c r="A73" s="90"/>
      <c r="B73" s="90"/>
    </row>
    <row r="74">
      <c r="A74" s="90"/>
      <c r="B74" s="90"/>
    </row>
    <row r="75">
      <c r="A75" s="90"/>
      <c r="B75" s="90"/>
    </row>
    <row r="76">
      <c r="A76" s="90"/>
      <c r="B76" s="90"/>
    </row>
    <row r="77">
      <c r="A77" s="90"/>
      <c r="B77" s="90"/>
    </row>
    <row r="78">
      <c r="A78" s="90"/>
      <c r="B78" s="90"/>
    </row>
    <row r="79">
      <c r="A79" s="90"/>
      <c r="B79" s="90"/>
    </row>
    <row r="80">
      <c r="A80" s="90"/>
      <c r="B80" s="90"/>
    </row>
    <row r="81">
      <c r="A81" s="91"/>
      <c r="B81" s="90"/>
    </row>
    <row r="82">
      <c r="A82" s="90"/>
      <c r="B82" s="90"/>
    </row>
    <row r="83">
      <c r="A83" s="91"/>
      <c r="B83" s="90"/>
    </row>
    <row r="84">
      <c r="A84" s="90"/>
      <c r="B84" s="90"/>
    </row>
    <row r="85">
      <c r="A85" s="91"/>
      <c r="B85" s="90"/>
    </row>
    <row r="86">
      <c r="A86" s="90"/>
      <c r="B86" s="90"/>
    </row>
    <row r="87">
      <c r="A87" s="90"/>
      <c r="B87" s="90"/>
    </row>
    <row r="88">
      <c r="A88" s="90"/>
      <c r="B88" s="90"/>
    </row>
    <row r="89">
      <c r="A89" s="90"/>
      <c r="B89" s="90"/>
    </row>
    <row r="90">
      <c r="A90" s="90"/>
      <c r="B90" s="90"/>
    </row>
    <row r="91">
      <c r="A91" s="90"/>
      <c r="B91" s="90"/>
    </row>
    <row r="92">
      <c r="A92" s="90"/>
      <c r="B92" s="90"/>
    </row>
    <row r="93">
      <c r="A93" s="90"/>
    </row>
    <row r="94">
      <c r="A94" s="90"/>
    </row>
    <row r="95">
      <c r="A95" s="90"/>
    </row>
    <row r="96">
      <c r="A96" s="90"/>
    </row>
    <row r="97">
      <c r="A97" s="90"/>
    </row>
    <row r="98">
      <c r="A98" s="90"/>
    </row>
    <row r="99">
      <c r="A99" s="90"/>
    </row>
    <row r="100">
      <c r="A100" s="90"/>
    </row>
    <row r="101">
      <c r="A101" s="90"/>
    </row>
    <row r="102">
      <c r="A102" s="90"/>
    </row>
    <row r="103">
      <c r="A103" s="90"/>
    </row>
    <row r="104">
      <c r="A104" s="90"/>
    </row>
  </sheetData>
  <mergeCells count="30">
    <mergeCell ref="A3:A4"/>
    <mergeCell ref="B3:B4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CC3:CE3"/>
    <mergeCell ref="CF3:CH3"/>
    <mergeCell ref="BH3:BJ3"/>
    <mergeCell ref="BK3:BM3"/>
    <mergeCell ref="BN3:BP3"/>
    <mergeCell ref="BQ3:BS3"/>
    <mergeCell ref="BT3:BV3"/>
    <mergeCell ref="BW3:BY3"/>
    <mergeCell ref="BZ3:CB3"/>
  </mergeCells>
  <conditionalFormatting sqref="C50:CH50">
    <cfRule type="cellIs" dxfId="0" priority="1" operator="lessThan">
      <formula>70</formula>
    </cfRule>
  </conditionalFormatting>
  <conditionalFormatting sqref="C6:CH45">
    <cfRule type="cellIs" dxfId="1" priority="2" operator="lessThan">
      <formula>70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12.63"/>
  </cols>
  <sheetData>
    <row r="1">
      <c r="A1" s="3" t="s">
        <v>6</v>
      </c>
    </row>
    <row r="2">
      <c r="A2" s="4"/>
    </row>
    <row r="3">
      <c r="A3" s="6" t="s">
        <v>8</v>
      </c>
      <c r="B3" s="7" t="s">
        <v>10</v>
      </c>
      <c r="C3" s="8" t="s">
        <v>12</v>
      </c>
      <c r="D3" s="10"/>
      <c r="E3" s="10"/>
      <c r="F3" s="10"/>
      <c r="G3" s="10"/>
      <c r="H3" s="10"/>
      <c r="I3" s="10"/>
      <c r="J3" s="10"/>
      <c r="K3" s="10"/>
      <c r="L3" s="10"/>
      <c r="M3" s="11"/>
    </row>
    <row r="4">
      <c r="A4" s="12"/>
      <c r="B4" s="12"/>
      <c r="C4" s="13" t="s">
        <v>17</v>
      </c>
      <c r="D4" s="13" t="s">
        <v>19</v>
      </c>
      <c r="E4" s="13" t="s">
        <v>20</v>
      </c>
      <c r="F4" s="13" t="s">
        <v>22</v>
      </c>
      <c r="G4" s="13" t="s">
        <v>23</v>
      </c>
      <c r="H4" s="13" t="s">
        <v>25</v>
      </c>
      <c r="I4" s="13" t="s">
        <v>26</v>
      </c>
      <c r="J4" s="13" t="s">
        <v>27</v>
      </c>
      <c r="K4" s="13" t="s">
        <v>29</v>
      </c>
      <c r="L4" s="13" t="s">
        <v>30</v>
      </c>
      <c r="M4" s="13" t="s">
        <v>32</v>
      </c>
    </row>
    <row r="5">
      <c r="A5" s="16" t="s">
        <v>15</v>
      </c>
      <c r="B5" s="18"/>
      <c r="C5" s="20" t="str">
        <f t="shared" ref="C5:M5" si="1">TEXTJOIN(", ", TRUE, C6:C8)</f>
        <v>I</v>
      </c>
      <c r="D5" s="21" t="str">
        <f t="shared" si="1"/>
        <v>I</v>
      </c>
      <c r="E5" s="21" t="str">
        <f t="shared" si="1"/>
        <v>I</v>
      </c>
      <c r="F5" s="20" t="str">
        <f t="shared" si="1"/>
        <v/>
      </c>
      <c r="G5" s="21" t="str">
        <f t="shared" si="1"/>
        <v/>
      </c>
      <c r="H5" s="21" t="str">
        <f t="shared" si="1"/>
        <v/>
      </c>
      <c r="I5" s="20" t="str">
        <f t="shared" si="1"/>
        <v/>
      </c>
      <c r="J5" s="21" t="str">
        <f t="shared" si="1"/>
        <v/>
      </c>
      <c r="K5" s="21" t="str">
        <f t="shared" si="1"/>
        <v/>
      </c>
      <c r="L5" s="21" t="str">
        <f t="shared" si="1"/>
        <v/>
      </c>
      <c r="M5" s="21" t="str">
        <f t="shared" si="1"/>
        <v/>
      </c>
    </row>
    <row r="6">
      <c r="A6" s="23"/>
      <c r="B6" s="24" t="s">
        <v>55</v>
      </c>
      <c r="C6" s="25" t="s">
        <v>57</v>
      </c>
      <c r="D6" s="25"/>
      <c r="E6" s="27"/>
      <c r="F6" s="27"/>
      <c r="G6" s="27"/>
      <c r="H6" s="27"/>
      <c r="I6" s="27"/>
      <c r="J6" s="27"/>
      <c r="K6" s="27"/>
      <c r="L6" s="27"/>
      <c r="M6" s="27"/>
    </row>
    <row r="7">
      <c r="A7" s="23"/>
      <c r="B7" s="2" t="s">
        <v>61</v>
      </c>
      <c r="C7" s="28"/>
      <c r="D7" s="28" t="s">
        <v>57</v>
      </c>
      <c r="E7" s="30"/>
      <c r="F7" s="30"/>
      <c r="G7" s="30"/>
      <c r="H7" s="30"/>
      <c r="I7" s="30"/>
      <c r="J7" s="30"/>
      <c r="K7" s="30"/>
      <c r="L7" s="30"/>
      <c r="M7" s="30"/>
    </row>
    <row r="8">
      <c r="A8" s="32"/>
      <c r="B8" s="33" t="s">
        <v>65</v>
      </c>
      <c r="C8" s="34"/>
      <c r="D8" s="35"/>
      <c r="E8" s="34" t="s">
        <v>57</v>
      </c>
      <c r="F8" s="36"/>
      <c r="G8" s="36"/>
      <c r="H8" s="36"/>
      <c r="I8" s="36"/>
      <c r="J8" s="36"/>
      <c r="K8" s="36"/>
      <c r="L8" s="36"/>
      <c r="M8" s="36"/>
    </row>
    <row r="9">
      <c r="A9" s="16" t="s">
        <v>16</v>
      </c>
      <c r="B9" s="39"/>
      <c r="C9" s="41" t="str">
        <f t="shared" ref="C9:M9" si="2">TEXTJOIN(", ", TRUE, C10:C12)</f>
        <v>I</v>
      </c>
      <c r="D9" s="42" t="str">
        <f t="shared" si="2"/>
        <v>I</v>
      </c>
      <c r="E9" s="41" t="str">
        <f t="shared" si="2"/>
        <v>I</v>
      </c>
      <c r="F9" s="41" t="str">
        <f t="shared" si="2"/>
        <v/>
      </c>
      <c r="G9" s="42" t="str">
        <f t="shared" si="2"/>
        <v/>
      </c>
      <c r="H9" s="41" t="str">
        <f t="shared" si="2"/>
        <v/>
      </c>
      <c r="I9" s="41" t="str">
        <f t="shared" si="2"/>
        <v/>
      </c>
      <c r="J9" s="42" t="str">
        <f t="shared" si="2"/>
        <v/>
      </c>
      <c r="K9" s="41" t="str">
        <f t="shared" si="2"/>
        <v/>
      </c>
      <c r="L9" s="41" t="str">
        <f t="shared" si="2"/>
        <v/>
      </c>
      <c r="M9" s="41" t="str">
        <f t="shared" si="2"/>
        <v/>
      </c>
    </row>
    <row r="10">
      <c r="A10" s="23"/>
      <c r="B10" s="24" t="s">
        <v>55</v>
      </c>
      <c r="C10" s="45" t="s">
        <v>57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</row>
    <row r="11">
      <c r="A11" s="23"/>
      <c r="B11" s="2" t="s">
        <v>61</v>
      </c>
      <c r="C11" s="30"/>
      <c r="D11" s="28" t="s">
        <v>57</v>
      </c>
      <c r="E11" s="30"/>
      <c r="F11" s="30"/>
      <c r="G11" s="30"/>
      <c r="H11" s="30"/>
      <c r="I11" s="30"/>
      <c r="J11" s="30"/>
      <c r="K11" s="30"/>
      <c r="L11" s="30"/>
      <c r="M11" s="30"/>
    </row>
    <row r="12">
      <c r="A12" s="32"/>
      <c r="B12" s="33" t="s">
        <v>65</v>
      </c>
      <c r="C12" s="36"/>
      <c r="D12" s="36"/>
      <c r="E12" s="34" t="s">
        <v>57</v>
      </c>
      <c r="F12" s="36"/>
      <c r="G12" s="36"/>
      <c r="H12" s="36"/>
      <c r="I12" s="36"/>
      <c r="J12" s="36"/>
      <c r="K12" s="36"/>
      <c r="L12" s="36"/>
      <c r="M12" s="36"/>
    </row>
    <row r="13">
      <c r="A13" s="16" t="s">
        <v>18</v>
      </c>
      <c r="B13" s="39"/>
      <c r="C13" s="41" t="str">
        <f t="shared" ref="C13:M13" si="3">TEXTJOIN(", ", TRUE, C14:C16)</f>
        <v>I</v>
      </c>
      <c r="D13" s="41" t="str">
        <f t="shared" si="3"/>
        <v>I</v>
      </c>
      <c r="E13" s="42" t="str">
        <f t="shared" si="3"/>
        <v>I</v>
      </c>
      <c r="F13" s="41" t="str">
        <f t="shared" si="3"/>
        <v/>
      </c>
      <c r="G13" s="41" t="str">
        <f t="shared" si="3"/>
        <v/>
      </c>
      <c r="H13" s="42" t="str">
        <f t="shared" si="3"/>
        <v/>
      </c>
      <c r="I13" s="41" t="str">
        <f t="shared" si="3"/>
        <v/>
      </c>
      <c r="J13" s="41" t="str">
        <f t="shared" si="3"/>
        <v/>
      </c>
      <c r="K13" s="42" t="str">
        <f t="shared" si="3"/>
        <v/>
      </c>
      <c r="L13" s="41" t="str">
        <f t="shared" si="3"/>
        <v/>
      </c>
      <c r="M13" s="41" t="str">
        <f t="shared" si="3"/>
        <v/>
      </c>
    </row>
    <row r="14">
      <c r="A14" s="23"/>
      <c r="B14" s="24" t="s">
        <v>55</v>
      </c>
      <c r="C14" s="45" t="s">
        <v>57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</row>
    <row r="15">
      <c r="A15" s="23"/>
      <c r="B15" s="2" t="s">
        <v>61</v>
      </c>
      <c r="C15" s="30"/>
      <c r="D15" s="28" t="s">
        <v>57</v>
      </c>
      <c r="E15" s="30"/>
      <c r="F15" s="30"/>
      <c r="G15" s="30"/>
      <c r="H15" s="30"/>
      <c r="I15" s="30"/>
      <c r="J15" s="30"/>
      <c r="K15" s="30"/>
      <c r="L15" s="30"/>
      <c r="M15" s="30"/>
    </row>
    <row r="16">
      <c r="A16" s="32"/>
      <c r="B16" s="33" t="s">
        <v>65</v>
      </c>
      <c r="C16" s="36"/>
      <c r="D16" s="36"/>
      <c r="E16" s="34" t="s">
        <v>57</v>
      </c>
      <c r="F16" s="36"/>
      <c r="G16" s="36"/>
      <c r="H16" s="36"/>
      <c r="I16" s="36"/>
      <c r="J16" s="36"/>
      <c r="K16" s="36"/>
      <c r="L16" s="36"/>
      <c r="M16" s="36"/>
    </row>
    <row r="17">
      <c r="A17" s="16" t="s">
        <v>21</v>
      </c>
      <c r="B17" s="39"/>
      <c r="C17" s="42" t="str">
        <f t="shared" ref="C17:M17" si="4">TEXTJOIN(", ", TRUE, C18:C20)</f>
        <v>P</v>
      </c>
      <c r="D17" s="41" t="str">
        <f t="shared" si="4"/>
        <v>P</v>
      </c>
      <c r="E17" s="41" t="str">
        <f t="shared" si="4"/>
        <v>P</v>
      </c>
      <c r="F17" s="42" t="str">
        <f t="shared" si="4"/>
        <v/>
      </c>
      <c r="G17" s="41" t="str">
        <f t="shared" si="4"/>
        <v/>
      </c>
      <c r="H17" s="41" t="str">
        <f t="shared" si="4"/>
        <v/>
      </c>
      <c r="I17" s="42" t="str">
        <f t="shared" si="4"/>
        <v/>
      </c>
      <c r="J17" s="41" t="str">
        <f t="shared" si="4"/>
        <v/>
      </c>
      <c r="K17" s="41" t="str">
        <f t="shared" si="4"/>
        <v/>
      </c>
      <c r="L17" s="41" t="str">
        <f t="shared" si="4"/>
        <v/>
      </c>
      <c r="M17" s="41" t="str">
        <f t="shared" si="4"/>
        <v/>
      </c>
    </row>
    <row r="18">
      <c r="A18" s="23"/>
      <c r="B18" s="24" t="s">
        <v>55</v>
      </c>
      <c r="C18" s="25" t="s">
        <v>67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</row>
    <row r="19">
      <c r="A19" s="23"/>
      <c r="B19" s="2" t="s">
        <v>61</v>
      </c>
      <c r="C19" s="30"/>
      <c r="D19" s="28" t="s">
        <v>67</v>
      </c>
      <c r="E19" s="30"/>
      <c r="F19" s="30"/>
      <c r="G19" s="30"/>
      <c r="H19" s="30"/>
      <c r="I19" s="30"/>
      <c r="J19" s="30"/>
      <c r="K19" s="30"/>
      <c r="L19" s="30"/>
      <c r="M19" s="30"/>
    </row>
    <row r="20">
      <c r="A20" s="32"/>
      <c r="B20" s="33" t="s">
        <v>65</v>
      </c>
      <c r="C20" s="36"/>
      <c r="D20" s="36"/>
      <c r="E20" s="34" t="s">
        <v>67</v>
      </c>
      <c r="F20" s="36"/>
      <c r="G20" s="36"/>
      <c r="H20" s="36"/>
      <c r="I20" s="36"/>
      <c r="J20" s="36"/>
      <c r="K20" s="36"/>
      <c r="L20" s="36"/>
      <c r="M20" s="36"/>
    </row>
    <row r="21">
      <c r="A21" s="16" t="s">
        <v>24</v>
      </c>
      <c r="B21" s="39"/>
      <c r="C21" s="41" t="str">
        <f t="shared" ref="C21:M21" si="5">TEXTJOIN(", ", TRUE, C22:C24)</f>
        <v>P</v>
      </c>
      <c r="D21" s="42" t="str">
        <f t="shared" si="5"/>
        <v>P</v>
      </c>
      <c r="E21" s="41" t="str">
        <f t="shared" si="5"/>
        <v>P</v>
      </c>
      <c r="F21" s="41" t="str">
        <f t="shared" si="5"/>
        <v/>
      </c>
      <c r="G21" s="42" t="str">
        <f t="shared" si="5"/>
        <v/>
      </c>
      <c r="H21" s="41" t="str">
        <f t="shared" si="5"/>
        <v/>
      </c>
      <c r="I21" s="41" t="str">
        <f t="shared" si="5"/>
        <v/>
      </c>
      <c r="J21" s="42" t="str">
        <f t="shared" si="5"/>
        <v/>
      </c>
      <c r="K21" s="41" t="str">
        <f t="shared" si="5"/>
        <v/>
      </c>
      <c r="L21" s="41" t="str">
        <f t="shared" si="5"/>
        <v/>
      </c>
      <c r="M21" s="41" t="str">
        <f t="shared" si="5"/>
        <v/>
      </c>
    </row>
    <row r="22">
      <c r="A22" s="23"/>
      <c r="B22" s="24" t="s">
        <v>55</v>
      </c>
      <c r="C22" s="45" t="s">
        <v>67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>
      <c r="A23" s="23"/>
      <c r="B23" s="2" t="s">
        <v>61</v>
      </c>
      <c r="C23" s="30"/>
      <c r="D23" s="28" t="s">
        <v>67</v>
      </c>
      <c r="E23" s="30"/>
      <c r="F23" s="30"/>
      <c r="G23" s="30"/>
      <c r="H23" s="30"/>
      <c r="I23" s="30"/>
      <c r="J23" s="30"/>
      <c r="K23" s="30"/>
      <c r="L23" s="30"/>
      <c r="M23" s="30"/>
    </row>
    <row r="24">
      <c r="A24" s="32"/>
      <c r="B24" s="33" t="s">
        <v>65</v>
      </c>
      <c r="C24" s="36"/>
      <c r="D24" s="36"/>
      <c r="E24" s="34" t="s">
        <v>67</v>
      </c>
      <c r="F24" s="36"/>
      <c r="G24" s="36"/>
      <c r="H24" s="36"/>
      <c r="I24" s="36"/>
      <c r="J24" s="36"/>
      <c r="K24" s="36"/>
      <c r="L24" s="36"/>
      <c r="M24" s="36"/>
    </row>
    <row r="25">
      <c r="A25" s="16" t="s">
        <v>28</v>
      </c>
      <c r="B25" s="39"/>
      <c r="C25" s="41" t="str">
        <f t="shared" ref="C25:M25" si="6">TEXTJOIN(", ", TRUE, C26:C28)</f>
        <v>D</v>
      </c>
      <c r="D25" s="41" t="str">
        <f t="shared" si="6"/>
        <v>D</v>
      </c>
      <c r="E25" s="42" t="str">
        <f t="shared" si="6"/>
        <v>D</v>
      </c>
      <c r="F25" s="41" t="str">
        <f t="shared" si="6"/>
        <v/>
      </c>
      <c r="G25" s="41" t="str">
        <f t="shared" si="6"/>
        <v/>
      </c>
      <c r="H25" s="42" t="str">
        <f t="shared" si="6"/>
        <v/>
      </c>
      <c r="I25" s="41" t="str">
        <f t="shared" si="6"/>
        <v/>
      </c>
      <c r="J25" s="41" t="str">
        <f t="shared" si="6"/>
        <v/>
      </c>
      <c r="K25" s="42" t="str">
        <f t="shared" si="6"/>
        <v/>
      </c>
      <c r="L25" s="41" t="str">
        <f t="shared" si="6"/>
        <v/>
      </c>
      <c r="M25" s="41" t="str">
        <f t="shared" si="6"/>
        <v/>
      </c>
    </row>
    <row r="26">
      <c r="A26" s="23"/>
      <c r="B26" s="24" t="s">
        <v>55</v>
      </c>
      <c r="C26" s="45" t="s">
        <v>70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>
      <c r="A27" s="23"/>
      <c r="B27" s="2" t="s">
        <v>61</v>
      </c>
      <c r="C27" s="30"/>
      <c r="D27" s="28" t="s">
        <v>70</v>
      </c>
      <c r="E27" s="30"/>
      <c r="F27" s="30"/>
      <c r="G27" s="30"/>
      <c r="H27" s="30"/>
      <c r="I27" s="30"/>
      <c r="J27" s="30"/>
      <c r="K27" s="30"/>
      <c r="L27" s="30"/>
      <c r="M27" s="30"/>
    </row>
    <row r="28">
      <c r="A28" s="32"/>
      <c r="B28" s="33" t="s">
        <v>65</v>
      </c>
      <c r="C28" s="36"/>
      <c r="D28" s="36"/>
      <c r="E28" s="34" t="s">
        <v>70</v>
      </c>
      <c r="F28" s="36"/>
      <c r="G28" s="36"/>
      <c r="H28" s="36"/>
      <c r="I28" s="36"/>
      <c r="J28" s="36"/>
      <c r="K28" s="36"/>
      <c r="L28" s="36"/>
      <c r="M28" s="36"/>
    </row>
    <row r="29">
      <c r="A29" s="16" t="s">
        <v>31</v>
      </c>
      <c r="B29" s="39"/>
      <c r="C29" s="41" t="str">
        <f t="shared" ref="C29:M29" si="7">TEXTJOIN(", ", TRUE, C30:C32)</f>
        <v/>
      </c>
      <c r="D29" s="41" t="str">
        <f t="shared" si="7"/>
        <v/>
      </c>
      <c r="E29" s="41" t="str">
        <f t="shared" si="7"/>
        <v/>
      </c>
      <c r="F29" s="41" t="str">
        <f t="shared" si="7"/>
        <v/>
      </c>
      <c r="G29" s="41" t="str">
        <f t="shared" si="7"/>
        <v/>
      </c>
      <c r="H29" s="41" t="str">
        <f t="shared" si="7"/>
        <v/>
      </c>
      <c r="I29" s="41" t="str">
        <f t="shared" si="7"/>
        <v/>
      </c>
      <c r="J29" s="41" t="str">
        <f t="shared" si="7"/>
        <v>D</v>
      </c>
      <c r="K29" s="41" t="str">
        <f t="shared" si="7"/>
        <v>D</v>
      </c>
      <c r="L29" s="41" t="str">
        <f t="shared" si="7"/>
        <v>D</v>
      </c>
      <c r="M29" s="41" t="str">
        <f t="shared" si="7"/>
        <v>D, D, D</v>
      </c>
    </row>
    <row r="30">
      <c r="A30" s="23"/>
      <c r="B30" s="24" t="s">
        <v>55</v>
      </c>
      <c r="C30" s="25"/>
      <c r="D30" s="27"/>
      <c r="E30" s="27"/>
      <c r="F30" s="27"/>
      <c r="G30" s="27"/>
      <c r="H30" s="27"/>
      <c r="I30" s="27"/>
      <c r="J30" s="45" t="s">
        <v>70</v>
      </c>
      <c r="K30" s="27"/>
      <c r="L30" s="27"/>
      <c r="M30" s="45" t="s">
        <v>70</v>
      </c>
    </row>
    <row r="31">
      <c r="A31" s="23"/>
      <c r="B31" s="2" t="s">
        <v>61</v>
      </c>
      <c r="C31" s="30"/>
      <c r="D31" s="58"/>
      <c r="E31" s="30"/>
      <c r="F31" s="30"/>
      <c r="G31" s="30"/>
      <c r="H31" s="30"/>
      <c r="I31" s="30"/>
      <c r="J31" s="30"/>
      <c r="K31" s="28" t="s">
        <v>70</v>
      </c>
      <c r="L31" s="30"/>
      <c r="M31" s="28" t="s">
        <v>70</v>
      </c>
    </row>
    <row r="32">
      <c r="A32" s="32"/>
      <c r="B32" s="33" t="s">
        <v>65</v>
      </c>
      <c r="C32" s="36"/>
      <c r="D32" s="36"/>
      <c r="E32" s="35"/>
      <c r="F32" s="36"/>
      <c r="G32" s="36"/>
      <c r="H32" s="36"/>
      <c r="I32" s="36"/>
      <c r="J32" s="36"/>
      <c r="K32" s="36"/>
      <c r="L32" s="34" t="s">
        <v>70</v>
      </c>
      <c r="M32" s="34" t="s">
        <v>70</v>
      </c>
    </row>
    <row r="33">
      <c r="A33" s="16" t="s">
        <v>33</v>
      </c>
      <c r="B33" s="39"/>
      <c r="C33" s="41" t="str">
        <f t="shared" ref="C33:M33" si="8">TEXTJOIN(", ", TRUE, C34:C36)</f>
        <v/>
      </c>
      <c r="D33" s="41" t="str">
        <f t="shared" si="8"/>
        <v/>
      </c>
      <c r="E33" s="41" t="str">
        <f t="shared" si="8"/>
        <v/>
      </c>
      <c r="F33" s="41" t="str">
        <f t="shared" si="8"/>
        <v>I</v>
      </c>
      <c r="G33" s="41" t="str">
        <f t="shared" si="8"/>
        <v>P</v>
      </c>
      <c r="H33" s="41" t="str">
        <f t="shared" si="8"/>
        <v>P</v>
      </c>
      <c r="I33" s="42" t="str">
        <f t="shared" si="8"/>
        <v/>
      </c>
      <c r="J33" s="42" t="str">
        <f t="shared" si="8"/>
        <v/>
      </c>
      <c r="K33" s="42" t="str">
        <f t="shared" si="8"/>
        <v/>
      </c>
      <c r="L33" s="41" t="str">
        <f t="shared" si="8"/>
        <v/>
      </c>
      <c r="M33" s="41" t="str">
        <f t="shared" si="8"/>
        <v/>
      </c>
    </row>
    <row r="34">
      <c r="A34" s="23"/>
      <c r="B34" s="24" t="s">
        <v>55</v>
      </c>
      <c r="C34" s="25"/>
      <c r="D34" s="27"/>
      <c r="E34" s="25"/>
      <c r="F34" s="45" t="s">
        <v>57</v>
      </c>
      <c r="G34" s="25"/>
      <c r="H34" s="25"/>
      <c r="I34" s="27"/>
      <c r="J34" s="27"/>
      <c r="K34" s="27"/>
      <c r="L34" s="27"/>
      <c r="M34" s="27"/>
    </row>
    <row r="35">
      <c r="A35" s="23"/>
      <c r="B35" s="2" t="s">
        <v>61</v>
      </c>
      <c r="C35" s="30"/>
      <c r="D35" s="58"/>
      <c r="E35" s="30"/>
      <c r="F35" s="30"/>
      <c r="G35" s="28" t="s">
        <v>67</v>
      </c>
      <c r="H35" s="30"/>
      <c r="I35" s="58"/>
      <c r="J35" s="30"/>
      <c r="K35" s="30"/>
      <c r="L35" s="30"/>
      <c r="M35" s="30"/>
    </row>
    <row r="36">
      <c r="A36" s="32"/>
      <c r="B36" s="33" t="s">
        <v>65</v>
      </c>
      <c r="C36" s="36"/>
      <c r="D36" s="36"/>
      <c r="E36" s="35"/>
      <c r="F36" s="36"/>
      <c r="G36" s="36"/>
      <c r="H36" s="34" t="s">
        <v>67</v>
      </c>
      <c r="I36" s="36"/>
      <c r="J36" s="35"/>
      <c r="K36" s="36"/>
      <c r="L36" s="36"/>
      <c r="M36" s="36"/>
    </row>
    <row r="37">
      <c r="A37" s="16" t="s">
        <v>34</v>
      </c>
      <c r="B37" s="39"/>
      <c r="C37" s="41" t="str">
        <f t="shared" ref="C37:M37" si="9">TEXTJOIN(", ", TRUE, C38:C40)</f>
        <v/>
      </c>
      <c r="D37" s="41" t="str">
        <f t="shared" si="9"/>
        <v/>
      </c>
      <c r="E37" s="41" t="str">
        <f t="shared" si="9"/>
        <v/>
      </c>
      <c r="F37" s="41" t="str">
        <f t="shared" si="9"/>
        <v>I</v>
      </c>
      <c r="G37" s="41" t="str">
        <f t="shared" si="9"/>
        <v>P</v>
      </c>
      <c r="H37" s="41" t="str">
        <f t="shared" si="9"/>
        <v>P</v>
      </c>
      <c r="I37" s="41" t="str">
        <f t="shared" si="9"/>
        <v/>
      </c>
      <c r="J37" s="41" t="str">
        <f t="shared" si="9"/>
        <v/>
      </c>
      <c r="K37" s="41" t="str">
        <f t="shared" si="9"/>
        <v/>
      </c>
      <c r="L37" s="42" t="str">
        <f t="shared" si="9"/>
        <v>I</v>
      </c>
      <c r="M37" s="42" t="str">
        <f t="shared" si="9"/>
        <v>I</v>
      </c>
    </row>
    <row r="38">
      <c r="A38" s="23"/>
      <c r="B38" s="24" t="s">
        <v>55</v>
      </c>
      <c r="C38" s="25"/>
      <c r="D38" s="27"/>
      <c r="E38" s="27"/>
      <c r="F38" s="45" t="s">
        <v>57</v>
      </c>
      <c r="G38" s="25"/>
      <c r="H38" s="25"/>
      <c r="I38" s="27"/>
      <c r="J38" s="27"/>
      <c r="K38" s="27"/>
      <c r="L38" s="27" t="s">
        <v>57</v>
      </c>
      <c r="M38" s="27"/>
    </row>
    <row r="39">
      <c r="A39" s="23"/>
      <c r="B39" s="2" t="s">
        <v>61</v>
      </c>
      <c r="C39" s="30"/>
      <c r="D39" s="58"/>
      <c r="E39" s="30"/>
      <c r="F39" s="30"/>
      <c r="G39" s="28" t="s">
        <v>67</v>
      </c>
      <c r="H39" s="30"/>
      <c r="I39" s="58"/>
      <c r="J39" s="30"/>
      <c r="K39" s="30"/>
      <c r="L39" s="30"/>
      <c r="M39" s="30" t="s">
        <v>57</v>
      </c>
    </row>
    <row r="40">
      <c r="A40" s="32"/>
      <c r="B40" s="33" t="s">
        <v>65</v>
      </c>
      <c r="C40" s="36"/>
      <c r="D40" s="36"/>
      <c r="E40" s="35"/>
      <c r="F40" s="36"/>
      <c r="G40" s="36"/>
      <c r="H40" s="34" t="s">
        <v>67</v>
      </c>
      <c r="I40" s="36"/>
      <c r="J40" s="35"/>
      <c r="K40" s="36"/>
      <c r="L40" s="36"/>
      <c r="M40" s="36"/>
    </row>
    <row r="41">
      <c r="A41" s="16" t="s">
        <v>35</v>
      </c>
      <c r="B41" s="39"/>
      <c r="C41" s="42" t="str">
        <f t="shared" ref="C41:M41" si="10">TEXTJOIN(", ", TRUE, C42:C44)</f>
        <v>I</v>
      </c>
      <c r="D41" s="42" t="str">
        <f t="shared" si="10"/>
        <v>I</v>
      </c>
      <c r="E41" s="42" t="str">
        <f t="shared" si="10"/>
        <v>P</v>
      </c>
      <c r="F41" s="42" t="str">
        <f t="shared" si="10"/>
        <v>I</v>
      </c>
      <c r="G41" s="42" t="str">
        <f t="shared" si="10"/>
        <v>I</v>
      </c>
      <c r="H41" s="42" t="str">
        <f t="shared" si="10"/>
        <v>P</v>
      </c>
      <c r="I41" s="41" t="str">
        <f t="shared" si="10"/>
        <v/>
      </c>
      <c r="J41" s="41" t="str">
        <f t="shared" si="10"/>
        <v/>
      </c>
      <c r="K41" s="41" t="str">
        <f t="shared" si="10"/>
        <v/>
      </c>
      <c r="L41" s="41" t="str">
        <f t="shared" si="10"/>
        <v/>
      </c>
      <c r="M41" s="41" t="str">
        <f t="shared" si="10"/>
        <v/>
      </c>
    </row>
    <row r="42">
      <c r="A42" s="23"/>
      <c r="B42" s="24" t="s">
        <v>55</v>
      </c>
      <c r="C42" s="25" t="s">
        <v>57</v>
      </c>
      <c r="D42" s="25"/>
      <c r="E42" s="27"/>
      <c r="F42" s="27" t="s">
        <v>57</v>
      </c>
      <c r="G42" s="27"/>
      <c r="H42" s="27"/>
      <c r="I42" s="27"/>
      <c r="J42" s="27"/>
      <c r="K42" s="27"/>
      <c r="L42" s="27"/>
      <c r="M42" s="27"/>
    </row>
    <row r="43">
      <c r="A43" s="23"/>
      <c r="B43" s="2" t="s">
        <v>61</v>
      </c>
      <c r="C43" s="30"/>
      <c r="D43" s="58" t="s">
        <v>57</v>
      </c>
      <c r="E43" s="30"/>
      <c r="F43" s="30"/>
      <c r="G43" s="30" t="s">
        <v>57</v>
      </c>
      <c r="H43" s="30"/>
      <c r="I43" s="30"/>
      <c r="J43" s="30"/>
      <c r="K43" s="30"/>
      <c r="L43" s="30"/>
      <c r="M43" s="30"/>
    </row>
    <row r="44">
      <c r="A44" s="32"/>
      <c r="B44" s="33" t="s">
        <v>65</v>
      </c>
      <c r="C44" s="36"/>
      <c r="D44" s="36"/>
      <c r="E44" s="35" t="s">
        <v>67</v>
      </c>
      <c r="F44" s="36"/>
      <c r="G44" s="36"/>
      <c r="H44" s="36" t="s">
        <v>67</v>
      </c>
      <c r="I44" s="36"/>
      <c r="J44" s="36"/>
      <c r="K44" s="36"/>
      <c r="L44" s="36"/>
      <c r="M44" s="36"/>
    </row>
    <row r="45">
      <c r="A45" s="16" t="s">
        <v>37</v>
      </c>
      <c r="B45" s="39"/>
      <c r="C45" s="42" t="str">
        <f t="shared" ref="C45:M45" si="11">TEXTJOIN(", ", TRUE, C46:C48)</f>
        <v>I</v>
      </c>
      <c r="D45" s="42" t="str">
        <f t="shared" si="11"/>
        <v>I</v>
      </c>
      <c r="E45" s="42" t="str">
        <f t="shared" si="11"/>
        <v>P</v>
      </c>
      <c r="F45" s="42" t="str">
        <f t="shared" si="11"/>
        <v/>
      </c>
      <c r="G45" s="42" t="str">
        <f t="shared" si="11"/>
        <v/>
      </c>
      <c r="H45" s="42" t="str">
        <f t="shared" si="11"/>
        <v/>
      </c>
      <c r="I45" s="41" t="str">
        <f t="shared" si="11"/>
        <v/>
      </c>
      <c r="J45" s="41" t="str">
        <f t="shared" si="11"/>
        <v/>
      </c>
      <c r="K45" s="41" t="str">
        <f t="shared" si="11"/>
        <v/>
      </c>
      <c r="L45" s="41" t="str">
        <f t="shared" si="11"/>
        <v/>
      </c>
      <c r="M45" s="41" t="str">
        <f t="shared" si="11"/>
        <v/>
      </c>
    </row>
    <row r="46">
      <c r="A46" s="23"/>
      <c r="B46" s="24" t="s">
        <v>55</v>
      </c>
      <c r="C46" s="25" t="s">
        <v>57</v>
      </c>
      <c r="D46" s="25"/>
      <c r="E46" s="27"/>
      <c r="F46" s="27"/>
      <c r="G46" s="27"/>
      <c r="H46" s="27"/>
      <c r="I46" s="27"/>
      <c r="J46" s="27"/>
      <c r="K46" s="27"/>
      <c r="L46" s="27"/>
      <c r="M46" s="27"/>
    </row>
    <row r="47">
      <c r="A47" s="23"/>
      <c r="B47" s="2" t="s">
        <v>61</v>
      </c>
      <c r="C47" s="30"/>
      <c r="D47" s="58" t="s">
        <v>57</v>
      </c>
      <c r="E47" s="30"/>
      <c r="F47" s="30"/>
      <c r="G47" s="30"/>
      <c r="H47" s="30"/>
      <c r="I47" s="30"/>
      <c r="J47" s="30"/>
      <c r="K47" s="30"/>
      <c r="L47" s="30"/>
      <c r="M47" s="30"/>
    </row>
    <row r="48">
      <c r="A48" s="32"/>
      <c r="B48" s="33" t="s">
        <v>65</v>
      </c>
      <c r="C48" s="36"/>
      <c r="D48" s="36"/>
      <c r="E48" s="35" t="s">
        <v>67</v>
      </c>
      <c r="F48" s="36"/>
      <c r="G48" s="36"/>
      <c r="H48" s="36"/>
      <c r="I48" s="36"/>
      <c r="J48" s="36"/>
      <c r="K48" s="36"/>
      <c r="L48" s="36"/>
      <c r="M48" s="36"/>
    </row>
    <row r="49">
      <c r="A49" s="16" t="s">
        <v>38</v>
      </c>
      <c r="B49" s="39"/>
      <c r="C49" s="42" t="str">
        <f t="shared" ref="C49:M49" si="12">TEXTJOIN(", ", TRUE, C50:C52)</f>
        <v>I</v>
      </c>
      <c r="D49" s="42" t="str">
        <f t="shared" si="12"/>
        <v>I</v>
      </c>
      <c r="E49" s="42" t="str">
        <f t="shared" si="12"/>
        <v>P</v>
      </c>
      <c r="F49" s="42" t="str">
        <f t="shared" si="12"/>
        <v>I</v>
      </c>
      <c r="G49" s="42" t="str">
        <f t="shared" si="12"/>
        <v>I</v>
      </c>
      <c r="H49" s="42" t="str">
        <f t="shared" si="12"/>
        <v>P</v>
      </c>
      <c r="I49" s="42" t="str">
        <f t="shared" si="12"/>
        <v/>
      </c>
      <c r="J49" s="42" t="str">
        <f t="shared" si="12"/>
        <v>P</v>
      </c>
      <c r="K49" s="42" t="str">
        <f t="shared" si="12"/>
        <v/>
      </c>
      <c r="L49" s="41" t="str">
        <f t="shared" si="12"/>
        <v/>
      </c>
      <c r="M49" s="41" t="str">
        <f t="shared" si="12"/>
        <v/>
      </c>
    </row>
    <row r="50">
      <c r="A50" s="23"/>
      <c r="B50" s="24" t="s">
        <v>55</v>
      </c>
      <c r="C50" s="25" t="s">
        <v>57</v>
      </c>
      <c r="D50" s="25"/>
      <c r="E50" s="25"/>
      <c r="F50" s="27" t="s">
        <v>57</v>
      </c>
      <c r="G50" s="27"/>
      <c r="H50" s="27"/>
      <c r="I50" s="27"/>
      <c r="J50" s="27"/>
      <c r="K50" s="27"/>
      <c r="L50" s="27"/>
      <c r="M50" s="27"/>
    </row>
    <row r="51">
      <c r="A51" s="23"/>
      <c r="B51" s="2" t="s">
        <v>61</v>
      </c>
      <c r="C51" s="30"/>
      <c r="D51" s="58" t="s">
        <v>57</v>
      </c>
      <c r="E51" s="30"/>
      <c r="F51" s="30"/>
      <c r="G51" s="30" t="s">
        <v>57</v>
      </c>
      <c r="H51" s="30"/>
      <c r="I51" s="30"/>
      <c r="J51" s="28" t="s">
        <v>67</v>
      </c>
      <c r="K51" s="30"/>
      <c r="L51" s="30"/>
      <c r="M51" s="30"/>
    </row>
    <row r="52">
      <c r="A52" s="32"/>
      <c r="B52" s="33" t="s">
        <v>65</v>
      </c>
      <c r="C52" s="36"/>
      <c r="D52" s="36"/>
      <c r="E52" s="35" t="s">
        <v>67</v>
      </c>
      <c r="F52" s="36"/>
      <c r="G52" s="36"/>
      <c r="H52" s="36" t="s">
        <v>67</v>
      </c>
      <c r="I52" s="36"/>
      <c r="J52" s="36"/>
      <c r="K52" s="36"/>
      <c r="L52" s="36"/>
      <c r="M52" s="36"/>
    </row>
    <row r="53">
      <c r="A53" s="16" t="s">
        <v>39</v>
      </c>
      <c r="B53" s="39"/>
      <c r="C53" s="42" t="str">
        <f t="shared" ref="C53:M53" si="13">TEXTJOIN(", ", TRUE, C54:C56)</f>
        <v>I</v>
      </c>
      <c r="D53" s="42" t="str">
        <f t="shared" si="13"/>
        <v>I</v>
      </c>
      <c r="E53" s="42" t="str">
        <f t="shared" si="13"/>
        <v>I</v>
      </c>
      <c r="F53" s="42" t="str">
        <f t="shared" si="13"/>
        <v>I</v>
      </c>
      <c r="G53" s="42" t="str">
        <f t="shared" si="13"/>
        <v>I</v>
      </c>
      <c r="H53" s="42" t="str">
        <f t="shared" si="13"/>
        <v>I</v>
      </c>
      <c r="I53" s="42" t="str">
        <f t="shared" si="13"/>
        <v/>
      </c>
      <c r="J53" s="42" t="str">
        <f t="shared" si="13"/>
        <v/>
      </c>
      <c r="K53" s="42" t="str">
        <f t="shared" si="13"/>
        <v/>
      </c>
      <c r="L53" s="41" t="str">
        <f t="shared" si="13"/>
        <v/>
      </c>
      <c r="M53" s="41" t="str">
        <f t="shared" si="13"/>
        <v/>
      </c>
    </row>
    <row r="54">
      <c r="A54" s="23"/>
      <c r="B54" s="24" t="s">
        <v>55</v>
      </c>
      <c r="C54" s="25" t="s">
        <v>57</v>
      </c>
      <c r="D54" s="25"/>
      <c r="E54" s="25"/>
      <c r="F54" s="27" t="s">
        <v>57</v>
      </c>
      <c r="G54" s="27"/>
      <c r="H54" s="27"/>
      <c r="I54" s="27"/>
      <c r="J54" s="27"/>
      <c r="K54" s="27"/>
      <c r="L54" s="27"/>
      <c r="M54" s="27"/>
    </row>
    <row r="55">
      <c r="A55" s="23"/>
      <c r="B55" s="2" t="s">
        <v>61</v>
      </c>
      <c r="C55" s="30"/>
      <c r="D55" s="58" t="s">
        <v>57</v>
      </c>
      <c r="E55" s="30"/>
      <c r="F55" s="30"/>
      <c r="G55" s="30" t="s">
        <v>57</v>
      </c>
      <c r="H55" s="30"/>
      <c r="I55" s="30"/>
      <c r="J55" s="30"/>
      <c r="K55" s="30"/>
      <c r="L55" s="30"/>
      <c r="M55" s="30"/>
    </row>
    <row r="56">
      <c r="A56" s="32"/>
      <c r="B56" s="33" t="s">
        <v>65</v>
      </c>
      <c r="C56" s="36"/>
      <c r="D56" s="36"/>
      <c r="E56" s="35" t="s">
        <v>57</v>
      </c>
      <c r="F56" s="36"/>
      <c r="G56" s="36"/>
      <c r="H56" s="36" t="s">
        <v>57</v>
      </c>
      <c r="I56" s="36"/>
      <c r="J56" s="36"/>
      <c r="K56" s="36"/>
      <c r="L56" s="36"/>
      <c r="M56" s="36"/>
    </row>
    <row r="57">
      <c r="A57" s="16" t="s">
        <v>40</v>
      </c>
      <c r="B57" s="39"/>
      <c r="C57" s="42" t="str">
        <f t="shared" ref="C57:M57" si="14">TEXTJOIN(", ", TRUE, C58:C60)</f>
        <v>I</v>
      </c>
      <c r="D57" s="42" t="str">
        <f t="shared" si="14"/>
        <v>I</v>
      </c>
      <c r="E57" s="42" t="str">
        <f t="shared" si="14"/>
        <v>P</v>
      </c>
      <c r="F57" s="42" t="str">
        <f t="shared" si="14"/>
        <v>I</v>
      </c>
      <c r="G57" s="42" t="str">
        <f t="shared" si="14"/>
        <v>I</v>
      </c>
      <c r="H57" s="42" t="str">
        <f t="shared" si="14"/>
        <v>P</v>
      </c>
      <c r="I57" s="42" t="str">
        <f t="shared" si="14"/>
        <v/>
      </c>
      <c r="J57" s="42" t="str">
        <f t="shared" si="14"/>
        <v/>
      </c>
      <c r="K57" s="42" t="str">
        <f t="shared" si="14"/>
        <v/>
      </c>
      <c r="L57" s="42" t="str">
        <f t="shared" si="14"/>
        <v/>
      </c>
      <c r="M57" s="42" t="str">
        <f t="shared" si="14"/>
        <v/>
      </c>
    </row>
    <row r="58">
      <c r="A58" s="23"/>
      <c r="B58" s="24" t="s">
        <v>55</v>
      </c>
      <c r="C58" s="25" t="s">
        <v>57</v>
      </c>
      <c r="D58" s="25"/>
      <c r="E58" s="25"/>
      <c r="F58" s="25" t="s">
        <v>57</v>
      </c>
      <c r="G58" s="25"/>
      <c r="H58" s="27"/>
      <c r="I58" s="27"/>
      <c r="J58" s="27"/>
      <c r="K58" s="27"/>
      <c r="L58" s="27"/>
      <c r="M58" s="27"/>
    </row>
    <row r="59">
      <c r="A59" s="23"/>
      <c r="B59" s="2" t="s">
        <v>61</v>
      </c>
      <c r="C59" s="30"/>
      <c r="D59" s="58" t="s">
        <v>57</v>
      </c>
      <c r="E59" s="30"/>
      <c r="F59" s="30"/>
      <c r="G59" s="30" t="s">
        <v>57</v>
      </c>
      <c r="H59" s="30"/>
      <c r="I59" s="30"/>
      <c r="J59" s="30"/>
      <c r="K59" s="30"/>
      <c r="L59" s="30"/>
      <c r="M59" s="30"/>
    </row>
    <row r="60">
      <c r="A60" s="32"/>
      <c r="B60" s="33" t="s">
        <v>65</v>
      </c>
      <c r="C60" s="36"/>
      <c r="D60" s="36"/>
      <c r="E60" s="35" t="s">
        <v>67</v>
      </c>
      <c r="F60" s="36"/>
      <c r="G60" s="36"/>
      <c r="H60" s="36" t="s">
        <v>67</v>
      </c>
      <c r="I60" s="36"/>
      <c r="J60" s="36"/>
      <c r="K60" s="36"/>
      <c r="L60" s="36"/>
      <c r="M60" s="36"/>
    </row>
    <row r="61">
      <c r="A61" s="16" t="s">
        <v>41</v>
      </c>
      <c r="B61" s="39"/>
      <c r="C61" s="42" t="str">
        <f t="shared" ref="C61:M61" si="15">TEXTJOIN(", ", TRUE, C62:C64)</f>
        <v>I</v>
      </c>
      <c r="D61" s="42" t="str">
        <f t="shared" si="15"/>
        <v>P</v>
      </c>
      <c r="E61" s="42" t="str">
        <f t="shared" si="15"/>
        <v>P</v>
      </c>
      <c r="F61" s="42" t="str">
        <f t="shared" si="15"/>
        <v>I</v>
      </c>
      <c r="G61" s="42" t="str">
        <f t="shared" si="15"/>
        <v>P</v>
      </c>
      <c r="H61" s="42" t="str">
        <f t="shared" si="15"/>
        <v>P</v>
      </c>
      <c r="I61" s="42" t="str">
        <f t="shared" si="15"/>
        <v>I</v>
      </c>
      <c r="J61" s="42" t="str">
        <f t="shared" si="15"/>
        <v>P</v>
      </c>
      <c r="K61" s="42" t="str">
        <f t="shared" si="15"/>
        <v/>
      </c>
      <c r="L61" s="42" t="str">
        <f t="shared" si="15"/>
        <v/>
      </c>
      <c r="M61" s="42" t="str">
        <f t="shared" si="15"/>
        <v/>
      </c>
    </row>
    <row r="62">
      <c r="A62" s="23"/>
      <c r="B62" s="24" t="s">
        <v>55</v>
      </c>
      <c r="C62" s="25" t="s">
        <v>57</v>
      </c>
      <c r="D62" s="25"/>
      <c r="E62" s="25"/>
      <c r="F62" s="25" t="s">
        <v>57</v>
      </c>
      <c r="G62" s="27"/>
      <c r="H62" s="27"/>
      <c r="I62" s="27" t="s">
        <v>57</v>
      </c>
      <c r="J62" s="27"/>
      <c r="K62" s="27"/>
      <c r="L62" s="27"/>
      <c r="M62" s="27"/>
    </row>
    <row r="63">
      <c r="A63" s="23"/>
      <c r="B63" s="2" t="s">
        <v>61</v>
      </c>
      <c r="C63" s="30"/>
      <c r="D63" s="58" t="s">
        <v>67</v>
      </c>
      <c r="E63" s="30"/>
      <c r="F63" s="30"/>
      <c r="G63" s="30" t="s">
        <v>67</v>
      </c>
      <c r="H63" s="30"/>
      <c r="I63" s="30"/>
      <c r="J63" s="30" t="s">
        <v>67</v>
      </c>
      <c r="K63" s="30"/>
      <c r="L63" s="30"/>
      <c r="M63" s="30"/>
    </row>
    <row r="64">
      <c r="A64" s="32"/>
      <c r="B64" s="33" t="s">
        <v>65</v>
      </c>
      <c r="C64" s="36"/>
      <c r="D64" s="36"/>
      <c r="E64" s="35" t="s">
        <v>67</v>
      </c>
      <c r="F64" s="36"/>
      <c r="G64" s="36"/>
      <c r="H64" s="36" t="s">
        <v>67</v>
      </c>
      <c r="I64" s="36"/>
      <c r="J64" s="36"/>
      <c r="K64" s="36"/>
      <c r="L64" s="36"/>
      <c r="M64" s="36"/>
    </row>
    <row r="65">
      <c r="A65" s="16" t="s">
        <v>42</v>
      </c>
      <c r="B65" s="39"/>
      <c r="C65" s="41" t="str">
        <f t="shared" ref="C65:M65" si="16">TEXTJOIN(", ", TRUE, C66:C68)</f>
        <v/>
      </c>
      <c r="D65" s="41" t="str">
        <f t="shared" si="16"/>
        <v>I</v>
      </c>
      <c r="E65" s="42" t="str">
        <f t="shared" si="16"/>
        <v>I</v>
      </c>
      <c r="F65" s="41" t="str">
        <f t="shared" si="16"/>
        <v>P</v>
      </c>
      <c r="G65" s="41" t="str">
        <f t="shared" si="16"/>
        <v>P</v>
      </c>
      <c r="H65" s="42" t="str">
        <f t="shared" si="16"/>
        <v>P</v>
      </c>
      <c r="I65" s="41" t="str">
        <f t="shared" si="16"/>
        <v/>
      </c>
      <c r="J65" s="41" t="str">
        <f t="shared" si="16"/>
        <v/>
      </c>
      <c r="K65" s="42" t="str">
        <f t="shared" si="16"/>
        <v/>
      </c>
      <c r="L65" s="41" t="str">
        <f t="shared" si="16"/>
        <v/>
      </c>
      <c r="M65" s="41" t="str">
        <f t="shared" si="16"/>
        <v/>
      </c>
    </row>
    <row r="66">
      <c r="A66" s="23"/>
      <c r="B66" s="24" t="s">
        <v>55</v>
      </c>
      <c r="C66" s="25"/>
      <c r="D66" s="45" t="s">
        <v>57</v>
      </c>
      <c r="E66" s="27"/>
      <c r="F66" s="27"/>
      <c r="G66" s="27"/>
      <c r="H66" s="27"/>
      <c r="I66" s="27"/>
      <c r="J66" s="27"/>
      <c r="K66" s="27"/>
      <c r="L66" s="27"/>
      <c r="M66" s="27"/>
    </row>
    <row r="67">
      <c r="A67" s="23"/>
      <c r="B67" s="2" t="s">
        <v>61</v>
      </c>
      <c r="C67" s="30"/>
      <c r="D67" s="58"/>
      <c r="E67" s="28" t="s">
        <v>57</v>
      </c>
      <c r="F67" s="30"/>
      <c r="G67" s="30"/>
      <c r="H67" s="30"/>
      <c r="I67" s="30"/>
      <c r="J67" s="30"/>
      <c r="K67" s="30"/>
      <c r="L67" s="30"/>
      <c r="M67" s="30"/>
    </row>
    <row r="68">
      <c r="A68" s="32"/>
      <c r="B68" s="33" t="s">
        <v>65</v>
      </c>
      <c r="C68" s="36"/>
      <c r="D68" s="36"/>
      <c r="E68" s="35"/>
      <c r="F68" s="34" t="s">
        <v>67</v>
      </c>
      <c r="G68" s="34" t="s">
        <v>67</v>
      </c>
      <c r="H68" s="34" t="s">
        <v>67</v>
      </c>
      <c r="I68" s="36"/>
      <c r="J68" s="36"/>
      <c r="K68" s="36"/>
      <c r="L68" s="36"/>
      <c r="M68" s="36"/>
    </row>
    <row r="69">
      <c r="A69" s="16" t="s">
        <v>44</v>
      </c>
      <c r="B69" s="39"/>
      <c r="C69" s="41" t="str">
        <f t="shared" ref="C69:M69" si="17">TEXTJOIN(", ", TRUE, C70:C72)</f>
        <v>I</v>
      </c>
      <c r="D69" s="41" t="str">
        <f t="shared" si="17"/>
        <v>P</v>
      </c>
      <c r="E69" s="42" t="str">
        <f t="shared" si="17"/>
        <v>D</v>
      </c>
      <c r="F69" s="41" t="str">
        <f t="shared" si="17"/>
        <v>D</v>
      </c>
      <c r="G69" s="41" t="str">
        <f t="shared" si="17"/>
        <v>D</v>
      </c>
      <c r="H69" s="42" t="str">
        <f t="shared" si="17"/>
        <v>D</v>
      </c>
      <c r="I69" s="41" t="str">
        <f t="shared" si="17"/>
        <v/>
      </c>
      <c r="J69" s="41" t="str">
        <f t="shared" si="17"/>
        <v/>
      </c>
      <c r="K69" s="42" t="str">
        <f t="shared" si="17"/>
        <v/>
      </c>
      <c r="L69" s="41" t="str">
        <f t="shared" si="17"/>
        <v/>
      </c>
      <c r="M69" s="41" t="str">
        <f t="shared" si="17"/>
        <v/>
      </c>
    </row>
    <row r="70">
      <c r="A70" s="23"/>
      <c r="B70" s="24" t="s">
        <v>55</v>
      </c>
      <c r="C70" s="45" t="s">
        <v>57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</row>
    <row r="71">
      <c r="A71" s="23"/>
      <c r="B71" s="2" t="s">
        <v>61</v>
      </c>
      <c r="C71" s="30"/>
      <c r="D71" s="28" t="s">
        <v>67</v>
      </c>
      <c r="E71" s="30"/>
      <c r="F71" s="28" t="s">
        <v>70</v>
      </c>
      <c r="G71" s="30"/>
      <c r="H71" s="30"/>
      <c r="I71" s="30"/>
      <c r="J71" s="30"/>
      <c r="K71" s="30"/>
      <c r="L71" s="30"/>
      <c r="M71" s="30"/>
    </row>
    <row r="72">
      <c r="A72" s="32"/>
      <c r="B72" s="33" t="s">
        <v>65</v>
      </c>
      <c r="C72" s="36"/>
      <c r="D72" s="36"/>
      <c r="E72" s="34" t="s">
        <v>70</v>
      </c>
      <c r="F72" s="34"/>
      <c r="G72" s="34" t="s">
        <v>70</v>
      </c>
      <c r="H72" s="34" t="s">
        <v>70</v>
      </c>
      <c r="I72" s="36"/>
      <c r="J72" s="36"/>
      <c r="K72" s="36"/>
      <c r="L72" s="36"/>
      <c r="M72" s="36"/>
    </row>
    <row r="73">
      <c r="A73" s="16" t="s">
        <v>46</v>
      </c>
      <c r="B73" s="39"/>
      <c r="C73" s="41" t="str">
        <f t="shared" ref="C73:M73" si="18">TEXTJOIN(", ", TRUE, C74:C76)</f>
        <v/>
      </c>
      <c r="D73" s="41" t="str">
        <f t="shared" si="18"/>
        <v/>
      </c>
      <c r="E73" s="42" t="str">
        <f t="shared" si="18"/>
        <v>D</v>
      </c>
      <c r="F73" s="41" t="str">
        <f t="shared" si="18"/>
        <v>D</v>
      </c>
      <c r="G73" s="41" t="str">
        <f t="shared" si="18"/>
        <v>D</v>
      </c>
      <c r="H73" s="42" t="str">
        <f t="shared" si="18"/>
        <v>D</v>
      </c>
      <c r="I73" s="41" t="str">
        <f t="shared" si="18"/>
        <v/>
      </c>
      <c r="J73" s="41" t="str">
        <f t="shared" si="18"/>
        <v/>
      </c>
      <c r="K73" s="42" t="str">
        <f t="shared" si="18"/>
        <v/>
      </c>
      <c r="L73" s="41" t="str">
        <f t="shared" si="18"/>
        <v/>
      </c>
      <c r="M73" s="41" t="str">
        <f t="shared" si="18"/>
        <v/>
      </c>
    </row>
    <row r="74">
      <c r="A74" s="23"/>
      <c r="B74" s="24" t="s">
        <v>55</v>
      </c>
      <c r="C74" s="25"/>
      <c r="D74" s="27"/>
      <c r="E74" s="27" t="s">
        <v>70</v>
      </c>
      <c r="F74" s="27"/>
      <c r="G74" s="27"/>
      <c r="H74" s="27"/>
      <c r="I74" s="27"/>
      <c r="J74" s="27"/>
      <c r="K74" s="27"/>
      <c r="L74" s="27"/>
      <c r="M74" s="27"/>
    </row>
    <row r="75">
      <c r="A75" s="23"/>
      <c r="B75" s="2" t="s">
        <v>61</v>
      </c>
      <c r="C75" s="30"/>
      <c r="D75" s="58"/>
      <c r="E75" s="30"/>
      <c r="F75" s="28" t="s">
        <v>70</v>
      </c>
      <c r="G75" s="30"/>
      <c r="H75" s="30"/>
      <c r="I75" s="30"/>
      <c r="J75" s="30"/>
      <c r="K75" s="30"/>
      <c r="L75" s="30"/>
      <c r="M75" s="30"/>
    </row>
    <row r="76">
      <c r="A76" s="32"/>
      <c r="B76" s="33" t="s">
        <v>65</v>
      </c>
      <c r="C76" s="36"/>
      <c r="D76" s="36"/>
      <c r="E76" s="35"/>
      <c r="F76" s="36"/>
      <c r="G76" s="34" t="s">
        <v>70</v>
      </c>
      <c r="H76" s="34" t="s">
        <v>70</v>
      </c>
      <c r="I76" s="36"/>
      <c r="J76" s="36"/>
      <c r="K76" s="36"/>
      <c r="L76" s="36"/>
      <c r="M76" s="36"/>
    </row>
    <row r="77">
      <c r="A77" s="16" t="s">
        <v>47</v>
      </c>
      <c r="B77" s="39"/>
      <c r="C77" s="41" t="str">
        <f t="shared" ref="C77:M77" si="19">TEXTJOIN(", ", TRUE, C78:C80)</f>
        <v/>
      </c>
      <c r="D77" s="41" t="str">
        <f t="shared" si="19"/>
        <v/>
      </c>
      <c r="E77" s="42" t="str">
        <f t="shared" si="19"/>
        <v>D</v>
      </c>
      <c r="F77" s="41" t="str">
        <f t="shared" si="19"/>
        <v/>
      </c>
      <c r="G77" s="41" t="str">
        <f t="shared" si="19"/>
        <v/>
      </c>
      <c r="H77" s="42" t="str">
        <f t="shared" si="19"/>
        <v>D</v>
      </c>
      <c r="I77" s="41" t="str">
        <f t="shared" si="19"/>
        <v>P, P, P</v>
      </c>
      <c r="J77" s="41" t="str">
        <f t="shared" si="19"/>
        <v/>
      </c>
      <c r="K77" s="42" t="str">
        <f t="shared" si="19"/>
        <v>D</v>
      </c>
      <c r="L77" s="41" t="str">
        <f t="shared" si="19"/>
        <v/>
      </c>
      <c r="M77" s="41" t="str">
        <f t="shared" si="19"/>
        <v/>
      </c>
    </row>
    <row r="78">
      <c r="A78" s="23"/>
      <c r="B78" s="24" t="s">
        <v>55</v>
      </c>
      <c r="C78" s="25"/>
      <c r="D78" s="27"/>
      <c r="E78" s="27" t="s">
        <v>70</v>
      </c>
      <c r="F78" s="27"/>
      <c r="G78" s="27"/>
      <c r="H78" s="27"/>
      <c r="I78" s="45" t="s">
        <v>67</v>
      </c>
      <c r="J78" s="27"/>
      <c r="K78" s="27"/>
      <c r="L78" s="27"/>
      <c r="M78" s="27"/>
    </row>
    <row r="79">
      <c r="A79" s="23"/>
      <c r="B79" s="2" t="s">
        <v>61</v>
      </c>
      <c r="C79" s="30"/>
      <c r="D79" s="58"/>
      <c r="E79" s="30"/>
      <c r="F79" s="30"/>
      <c r="G79" s="30"/>
      <c r="H79" s="30" t="s">
        <v>70</v>
      </c>
      <c r="I79" s="28" t="s">
        <v>67</v>
      </c>
      <c r="J79" s="30"/>
      <c r="K79" s="30"/>
      <c r="L79" s="30"/>
      <c r="M79" s="30"/>
    </row>
    <row r="80">
      <c r="A80" s="32"/>
      <c r="B80" s="33" t="s">
        <v>65</v>
      </c>
      <c r="C80" s="36"/>
      <c r="D80" s="36"/>
      <c r="E80" s="35"/>
      <c r="F80" s="36"/>
      <c r="G80" s="36"/>
      <c r="H80" s="36"/>
      <c r="I80" s="34" t="s">
        <v>67</v>
      </c>
      <c r="J80" s="36"/>
      <c r="K80" s="36" t="s">
        <v>70</v>
      </c>
      <c r="L80" s="36"/>
      <c r="M80" s="36"/>
    </row>
    <row r="81">
      <c r="A81" s="16" t="s">
        <v>48</v>
      </c>
      <c r="B81" s="39"/>
      <c r="C81" s="41" t="str">
        <f t="shared" ref="C81:M81" si="20">TEXTJOIN(", ", TRUE, C82:C84)</f>
        <v/>
      </c>
      <c r="D81" s="41" t="str">
        <f t="shared" si="20"/>
        <v/>
      </c>
      <c r="E81" s="42" t="str">
        <f t="shared" si="20"/>
        <v/>
      </c>
      <c r="F81" s="41" t="str">
        <f t="shared" si="20"/>
        <v>I</v>
      </c>
      <c r="G81" s="41" t="str">
        <f t="shared" si="20"/>
        <v>P</v>
      </c>
      <c r="H81" s="42" t="str">
        <f t="shared" si="20"/>
        <v>D</v>
      </c>
      <c r="I81" s="41" t="str">
        <f t="shared" si="20"/>
        <v>P, P, P</v>
      </c>
      <c r="J81" s="41" t="str">
        <f t="shared" si="20"/>
        <v>P</v>
      </c>
      <c r="K81" s="42" t="str">
        <f t="shared" si="20"/>
        <v>P</v>
      </c>
      <c r="L81" s="41" t="str">
        <f t="shared" si="20"/>
        <v/>
      </c>
      <c r="M81" s="41" t="str">
        <f t="shared" si="20"/>
        <v/>
      </c>
    </row>
    <row r="82">
      <c r="A82" s="23"/>
      <c r="B82" s="24" t="s">
        <v>55</v>
      </c>
      <c r="C82" s="25"/>
      <c r="D82" s="27"/>
      <c r="E82" s="27"/>
      <c r="F82" s="45" t="s">
        <v>57</v>
      </c>
      <c r="G82" s="27"/>
      <c r="H82" s="27"/>
      <c r="I82" s="45" t="s">
        <v>67</v>
      </c>
      <c r="J82" s="27"/>
      <c r="K82" s="27"/>
      <c r="L82" s="27"/>
      <c r="M82" s="27"/>
    </row>
    <row r="83">
      <c r="A83" s="23"/>
      <c r="B83" s="2" t="s">
        <v>61</v>
      </c>
      <c r="C83" s="30"/>
      <c r="D83" s="58"/>
      <c r="E83" s="30"/>
      <c r="F83" s="30"/>
      <c r="G83" s="28" t="s">
        <v>67</v>
      </c>
      <c r="H83" s="30"/>
      <c r="I83" s="28" t="s">
        <v>67</v>
      </c>
      <c r="J83" s="30"/>
      <c r="K83" s="30"/>
      <c r="L83" s="30"/>
      <c r="M83" s="30"/>
    </row>
    <row r="84">
      <c r="A84" s="32"/>
      <c r="B84" s="33" t="s">
        <v>65</v>
      </c>
      <c r="C84" s="36"/>
      <c r="D84" s="36"/>
      <c r="E84" s="35"/>
      <c r="F84" s="36"/>
      <c r="G84" s="36"/>
      <c r="H84" s="34" t="s">
        <v>70</v>
      </c>
      <c r="I84" s="34" t="s">
        <v>67</v>
      </c>
      <c r="J84" s="34" t="s">
        <v>67</v>
      </c>
      <c r="K84" s="34" t="s">
        <v>67</v>
      </c>
      <c r="L84" s="36"/>
      <c r="M84" s="36"/>
    </row>
    <row r="85">
      <c r="A85" s="16" t="s">
        <v>50</v>
      </c>
      <c r="B85" s="39"/>
      <c r="C85" s="41" t="str">
        <f t="shared" ref="C85:M85" si="21">TEXTJOIN(", ", TRUE, C86:C88)</f>
        <v>I</v>
      </c>
      <c r="D85" s="41" t="str">
        <f t="shared" si="21"/>
        <v>P</v>
      </c>
      <c r="E85" s="42" t="str">
        <f t="shared" si="21"/>
        <v>D</v>
      </c>
      <c r="F85" s="41" t="str">
        <f t="shared" si="21"/>
        <v>I</v>
      </c>
      <c r="G85" s="41" t="str">
        <f t="shared" si="21"/>
        <v>P</v>
      </c>
      <c r="H85" s="42" t="str">
        <f t="shared" si="21"/>
        <v/>
      </c>
      <c r="I85" s="41" t="str">
        <f t="shared" si="21"/>
        <v/>
      </c>
      <c r="J85" s="41" t="str">
        <f t="shared" si="21"/>
        <v/>
      </c>
      <c r="K85" s="42" t="str">
        <f t="shared" si="21"/>
        <v/>
      </c>
      <c r="L85" s="41" t="str">
        <f t="shared" si="21"/>
        <v/>
      </c>
      <c r="M85" s="41" t="str">
        <f t="shared" si="21"/>
        <v/>
      </c>
    </row>
    <row r="86">
      <c r="A86" s="23"/>
      <c r="B86" s="24" t="s">
        <v>55</v>
      </c>
      <c r="C86" s="45" t="s">
        <v>57</v>
      </c>
      <c r="D86" s="27"/>
      <c r="E86" s="27"/>
      <c r="F86" s="45" t="s">
        <v>57</v>
      </c>
      <c r="G86" s="27"/>
      <c r="H86" s="27"/>
      <c r="I86" s="27"/>
      <c r="J86" s="27"/>
      <c r="K86" s="27"/>
      <c r="L86" s="27"/>
      <c r="M86" s="27"/>
    </row>
    <row r="87">
      <c r="A87" s="23"/>
      <c r="B87" s="2" t="s">
        <v>61</v>
      </c>
      <c r="C87" s="30"/>
      <c r="D87" s="28" t="s">
        <v>67</v>
      </c>
      <c r="E87" s="30"/>
      <c r="F87" s="30"/>
      <c r="G87" s="28" t="s">
        <v>67</v>
      </c>
      <c r="H87" s="30"/>
      <c r="I87" s="30"/>
      <c r="J87" s="30"/>
      <c r="K87" s="30"/>
      <c r="L87" s="30"/>
      <c r="M87" s="30"/>
    </row>
    <row r="88">
      <c r="A88" s="32"/>
      <c r="B88" s="33" t="s">
        <v>65</v>
      </c>
      <c r="C88" s="36"/>
      <c r="D88" s="36"/>
      <c r="E88" s="34" t="s">
        <v>70</v>
      </c>
      <c r="F88" s="36"/>
      <c r="G88" s="36"/>
      <c r="H88" s="36"/>
      <c r="I88" s="36"/>
      <c r="J88" s="36"/>
      <c r="K88" s="36"/>
      <c r="L88" s="36"/>
      <c r="M88" s="36"/>
    </row>
    <row r="89">
      <c r="A89" s="16" t="s">
        <v>51</v>
      </c>
      <c r="B89" s="39"/>
      <c r="C89" s="41" t="str">
        <f t="shared" ref="C89:M89" si="22">TEXTJOIN(", ", TRUE, C90:C92)</f>
        <v>P</v>
      </c>
      <c r="D89" s="41" t="str">
        <f t="shared" si="22"/>
        <v>P</v>
      </c>
      <c r="E89" s="42" t="str">
        <f t="shared" si="22"/>
        <v>D</v>
      </c>
      <c r="F89" s="41" t="str">
        <f t="shared" si="22"/>
        <v>P</v>
      </c>
      <c r="G89" s="41" t="str">
        <f t="shared" si="22"/>
        <v>P</v>
      </c>
      <c r="H89" s="42" t="str">
        <f t="shared" si="22"/>
        <v>D</v>
      </c>
      <c r="I89" s="41" t="str">
        <f t="shared" si="22"/>
        <v/>
      </c>
      <c r="J89" s="41" t="str">
        <f t="shared" si="22"/>
        <v/>
      </c>
      <c r="K89" s="42" t="str">
        <f t="shared" si="22"/>
        <v/>
      </c>
      <c r="L89" s="41" t="str">
        <f t="shared" si="22"/>
        <v/>
      </c>
      <c r="M89" s="41" t="str">
        <f t="shared" si="22"/>
        <v/>
      </c>
    </row>
    <row r="90">
      <c r="A90" s="23"/>
      <c r="B90" s="24" t="s">
        <v>55</v>
      </c>
      <c r="C90" s="45" t="s">
        <v>67</v>
      </c>
      <c r="D90" s="27"/>
      <c r="E90" s="27"/>
      <c r="F90" s="45" t="s">
        <v>67</v>
      </c>
      <c r="G90" s="27"/>
      <c r="H90" s="27"/>
      <c r="I90" s="27"/>
      <c r="J90" s="27"/>
      <c r="K90" s="27"/>
      <c r="L90" s="27"/>
      <c r="M90" s="27"/>
    </row>
    <row r="91">
      <c r="A91" s="23"/>
      <c r="B91" s="2" t="s">
        <v>61</v>
      </c>
      <c r="C91" s="30"/>
      <c r="D91" s="28" t="s">
        <v>67</v>
      </c>
      <c r="E91" s="30"/>
      <c r="F91" s="30"/>
      <c r="G91" s="28" t="s">
        <v>67</v>
      </c>
      <c r="H91" s="30"/>
      <c r="I91" s="30"/>
      <c r="J91" s="30"/>
      <c r="K91" s="30"/>
      <c r="L91" s="30"/>
      <c r="M91" s="30"/>
    </row>
    <row r="92">
      <c r="A92" s="32"/>
      <c r="B92" s="33" t="s">
        <v>65</v>
      </c>
      <c r="C92" s="36"/>
      <c r="D92" s="36"/>
      <c r="E92" s="34" t="s">
        <v>70</v>
      </c>
      <c r="F92" s="36"/>
      <c r="G92" s="36"/>
      <c r="H92" s="34" t="s">
        <v>70</v>
      </c>
      <c r="I92" s="36"/>
      <c r="J92" s="36"/>
      <c r="K92" s="36"/>
      <c r="L92" s="36"/>
      <c r="M92" s="36"/>
    </row>
    <row r="93">
      <c r="A93" s="16" t="s">
        <v>52</v>
      </c>
      <c r="B93" s="39"/>
      <c r="C93" s="41" t="str">
        <f t="shared" ref="C93:M93" si="23">TEXTJOIN(", ", TRUE, C94:C96)</f>
        <v>P</v>
      </c>
      <c r="D93" s="41" t="str">
        <f t="shared" si="23"/>
        <v>P</v>
      </c>
      <c r="E93" s="42" t="str">
        <f t="shared" si="23"/>
        <v>D</v>
      </c>
      <c r="F93" s="41" t="str">
        <f t="shared" si="23"/>
        <v>P</v>
      </c>
      <c r="G93" s="41" t="str">
        <f t="shared" si="23"/>
        <v>P</v>
      </c>
      <c r="H93" s="42" t="str">
        <f t="shared" si="23"/>
        <v>D</v>
      </c>
      <c r="I93" s="41" t="str">
        <f t="shared" si="23"/>
        <v/>
      </c>
      <c r="J93" s="41" t="str">
        <f t="shared" si="23"/>
        <v/>
      </c>
      <c r="K93" s="42" t="str">
        <f t="shared" si="23"/>
        <v/>
      </c>
      <c r="L93" s="41" t="str">
        <f t="shared" si="23"/>
        <v/>
      </c>
      <c r="M93" s="41" t="str">
        <f t="shared" si="23"/>
        <v/>
      </c>
    </row>
    <row r="94">
      <c r="A94" s="23"/>
      <c r="B94" s="24" t="s">
        <v>55</v>
      </c>
      <c r="C94" s="45" t="s">
        <v>67</v>
      </c>
      <c r="D94" s="27"/>
      <c r="E94" s="27"/>
      <c r="F94" s="45" t="s">
        <v>67</v>
      </c>
      <c r="G94" s="27"/>
      <c r="H94" s="27"/>
      <c r="I94" s="27"/>
      <c r="J94" s="27"/>
      <c r="K94" s="27"/>
      <c r="L94" s="27"/>
      <c r="M94" s="27"/>
    </row>
    <row r="95">
      <c r="A95" s="23"/>
      <c r="B95" s="2" t="s">
        <v>61</v>
      </c>
      <c r="C95" s="30"/>
      <c r="D95" s="28" t="s">
        <v>67</v>
      </c>
      <c r="E95" s="30"/>
      <c r="F95" s="30"/>
      <c r="G95" s="28" t="s">
        <v>67</v>
      </c>
      <c r="H95" s="30"/>
      <c r="I95" s="30"/>
      <c r="J95" s="30"/>
      <c r="K95" s="30"/>
      <c r="L95" s="30"/>
      <c r="M95" s="30"/>
    </row>
    <row r="96">
      <c r="A96" s="32"/>
      <c r="B96" s="33" t="s">
        <v>65</v>
      </c>
      <c r="C96" s="36"/>
      <c r="D96" s="36"/>
      <c r="E96" s="34" t="s">
        <v>70</v>
      </c>
      <c r="F96" s="36"/>
      <c r="G96" s="36"/>
      <c r="H96" s="34" t="s">
        <v>70</v>
      </c>
      <c r="I96" s="36"/>
      <c r="J96" s="36"/>
      <c r="K96" s="36"/>
      <c r="L96" s="36"/>
      <c r="M96" s="36"/>
    </row>
    <row r="97">
      <c r="A97" s="16" t="s">
        <v>54</v>
      </c>
      <c r="B97" s="39"/>
      <c r="C97" s="41" t="str">
        <f t="shared" ref="C97:M97" si="24">TEXTJOIN(", ", TRUE, C98:C100)</f>
        <v>P</v>
      </c>
      <c r="D97" s="41" t="str">
        <f t="shared" si="24"/>
        <v>P</v>
      </c>
      <c r="E97" s="42" t="str">
        <f t="shared" si="24"/>
        <v>D, D</v>
      </c>
      <c r="F97" s="41" t="str">
        <f t="shared" si="24"/>
        <v>P</v>
      </c>
      <c r="G97" s="41" t="str">
        <f t="shared" si="24"/>
        <v>P</v>
      </c>
      <c r="H97" s="42" t="str">
        <f t="shared" si="24"/>
        <v>D</v>
      </c>
      <c r="I97" s="41" t="str">
        <f t="shared" si="24"/>
        <v/>
      </c>
      <c r="J97" s="41" t="str">
        <f t="shared" si="24"/>
        <v/>
      </c>
      <c r="K97" s="42" t="str">
        <f t="shared" si="24"/>
        <v/>
      </c>
      <c r="L97" s="41" t="str">
        <f t="shared" si="24"/>
        <v/>
      </c>
      <c r="M97" s="41" t="str">
        <f t="shared" si="24"/>
        <v/>
      </c>
    </row>
    <row r="98">
      <c r="A98" s="23"/>
      <c r="B98" s="24" t="s">
        <v>55</v>
      </c>
      <c r="C98" s="45" t="s">
        <v>67</v>
      </c>
      <c r="D98" s="27"/>
      <c r="E98" s="27" t="s">
        <v>70</v>
      </c>
      <c r="F98" s="45" t="s">
        <v>67</v>
      </c>
      <c r="G98" s="27"/>
      <c r="H98" s="27"/>
      <c r="I98" s="27"/>
      <c r="J98" s="27"/>
      <c r="K98" s="27"/>
      <c r="L98" s="27"/>
      <c r="M98" s="27"/>
    </row>
    <row r="99">
      <c r="A99" s="23"/>
      <c r="B99" s="2" t="s">
        <v>61</v>
      </c>
      <c r="C99" s="30"/>
      <c r="D99" s="28" t="s">
        <v>67</v>
      </c>
      <c r="E99" s="30"/>
      <c r="F99" s="30"/>
      <c r="G99" s="28" t="s">
        <v>67</v>
      </c>
      <c r="H99" s="30"/>
      <c r="I99" s="30"/>
      <c r="J99" s="30"/>
      <c r="K99" s="30"/>
      <c r="L99" s="30"/>
      <c r="M99" s="30"/>
    </row>
    <row r="100">
      <c r="A100" s="32"/>
      <c r="B100" s="33" t="s">
        <v>65</v>
      </c>
      <c r="C100" s="36"/>
      <c r="D100" s="36"/>
      <c r="E100" s="34" t="s">
        <v>70</v>
      </c>
      <c r="F100" s="36"/>
      <c r="G100" s="36"/>
      <c r="H100" s="34" t="s">
        <v>70</v>
      </c>
      <c r="I100" s="36"/>
      <c r="J100" s="36"/>
      <c r="K100" s="36"/>
      <c r="L100" s="36"/>
      <c r="M100" s="36"/>
    </row>
    <row r="101">
      <c r="A101" s="16" t="s">
        <v>56</v>
      </c>
      <c r="B101" s="39"/>
      <c r="C101" s="41" t="str">
        <f t="shared" ref="C101:M101" si="25">TEXTJOIN(", ", TRUE, C102:C104)</f>
        <v/>
      </c>
      <c r="D101" s="41" t="str">
        <f t="shared" si="25"/>
        <v/>
      </c>
      <c r="E101" s="41" t="str">
        <f t="shared" si="25"/>
        <v/>
      </c>
      <c r="F101" s="41" t="str">
        <f t="shared" si="25"/>
        <v/>
      </c>
      <c r="G101" s="41" t="str">
        <f t="shared" si="25"/>
        <v/>
      </c>
      <c r="H101" s="41" t="str">
        <f t="shared" si="25"/>
        <v/>
      </c>
      <c r="I101" s="41" t="str">
        <f t="shared" si="25"/>
        <v>D</v>
      </c>
      <c r="J101" s="41" t="str">
        <f t="shared" si="25"/>
        <v>D</v>
      </c>
      <c r="K101" s="41" t="str">
        <f t="shared" si="25"/>
        <v>D</v>
      </c>
      <c r="L101" s="41" t="str">
        <f t="shared" si="25"/>
        <v>D</v>
      </c>
      <c r="M101" s="41" t="str">
        <f t="shared" si="25"/>
        <v>D</v>
      </c>
    </row>
    <row r="102">
      <c r="A102" s="23"/>
      <c r="B102" s="24" t="s">
        <v>55</v>
      </c>
      <c r="C102" s="25"/>
      <c r="D102" s="27"/>
      <c r="E102" s="27"/>
      <c r="F102" s="27"/>
      <c r="G102" s="27"/>
      <c r="H102" s="27"/>
      <c r="I102" s="45"/>
      <c r="J102" s="45" t="s">
        <v>70</v>
      </c>
      <c r="K102" s="45"/>
      <c r="L102" s="27"/>
      <c r="M102" s="45"/>
    </row>
    <row r="103">
      <c r="A103" s="23"/>
      <c r="B103" s="2" t="s">
        <v>61</v>
      </c>
      <c r="C103" s="30"/>
      <c r="D103" s="58"/>
      <c r="E103" s="30"/>
      <c r="F103" s="30"/>
      <c r="G103" s="30"/>
      <c r="H103" s="30"/>
      <c r="I103" s="28"/>
      <c r="J103" s="30"/>
      <c r="K103" s="28" t="s">
        <v>70</v>
      </c>
      <c r="L103" s="28"/>
      <c r="M103" s="28"/>
    </row>
    <row r="104">
      <c r="A104" s="32"/>
      <c r="B104" s="33" t="s">
        <v>65</v>
      </c>
      <c r="C104" s="36"/>
      <c r="D104" s="36"/>
      <c r="E104" s="35"/>
      <c r="F104" s="36"/>
      <c r="G104" s="36"/>
      <c r="H104" s="36"/>
      <c r="I104" s="34" t="s">
        <v>70</v>
      </c>
      <c r="J104" s="36"/>
      <c r="K104" s="36"/>
      <c r="L104" s="34" t="s">
        <v>70</v>
      </c>
      <c r="M104" s="34" t="s">
        <v>70</v>
      </c>
    </row>
    <row r="105">
      <c r="A105" s="16" t="s">
        <v>58</v>
      </c>
      <c r="B105" s="39"/>
      <c r="C105" s="42" t="str">
        <f t="shared" ref="C105:M105" si="26">TEXTJOIN(", ", TRUE, C106:C108)</f>
        <v>D, D, D</v>
      </c>
      <c r="D105" s="42" t="str">
        <f t="shared" si="26"/>
        <v>D, D, D</v>
      </c>
      <c r="E105" s="42" t="str">
        <f t="shared" si="26"/>
        <v>D, D, D</v>
      </c>
      <c r="F105" s="42" t="str">
        <f t="shared" si="26"/>
        <v>D, D, D</v>
      </c>
      <c r="G105" s="42" t="str">
        <f t="shared" si="26"/>
        <v>D, D, D</v>
      </c>
      <c r="H105" s="42" t="str">
        <f t="shared" si="26"/>
        <v>D, D, D</v>
      </c>
      <c r="I105" s="42" t="str">
        <f t="shared" si="26"/>
        <v>D, D, D</v>
      </c>
      <c r="J105" s="42" t="str">
        <f t="shared" si="26"/>
        <v>D, D, D</v>
      </c>
      <c r="K105" s="42" t="str">
        <f t="shared" si="26"/>
        <v>D, D, D</v>
      </c>
      <c r="L105" s="42" t="str">
        <f t="shared" si="26"/>
        <v>D, D, D</v>
      </c>
      <c r="M105" s="42" t="str">
        <f t="shared" si="26"/>
        <v>D, D, D</v>
      </c>
    </row>
    <row r="106">
      <c r="A106" s="23"/>
      <c r="B106" s="24" t="s">
        <v>55</v>
      </c>
      <c r="C106" s="25" t="s">
        <v>70</v>
      </c>
      <c r="D106" s="27" t="s">
        <v>70</v>
      </c>
      <c r="E106" s="27" t="s">
        <v>70</v>
      </c>
      <c r="F106" s="27" t="s">
        <v>70</v>
      </c>
      <c r="G106" s="27" t="s">
        <v>70</v>
      </c>
      <c r="H106" s="27" t="s">
        <v>70</v>
      </c>
      <c r="I106" s="27" t="s">
        <v>70</v>
      </c>
      <c r="J106" s="27" t="s">
        <v>70</v>
      </c>
      <c r="K106" s="27" t="s">
        <v>70</v>
      </c>
      <c r="L106" s="27" t="s">
        <v>70</v>
      </c>
      <c r="M106" s="27" t="s">
        <v>70</v>
      </c>
    </row>
    <row r="107">
      <c r="A107" s="23"/>
      <c r="B107" s="2" t="s">
        <v>61</v>
      </c>
      <c r="C107" s="30" t="s">
        <v>70</v>
      </c>
      <c r="D107" s="58" t="s">
        <v>70</v>
      </c>
      <c r="E107" s="30" t="s">
        <v>70</v>
      </c>
      <c r="F107" s="30" t="s">
        <v>70</v>
      </c>
      <c r="G107" s="30" t="s">
        <v>70</v>
      </c>
      <c r="H107" s="30" t="s">
        <v>70</v>
      </c>
      <c r="I107" s="30" t="s">
        <v>70</v>
      </c>
      <c r="J107" s="30" t="s">
        <v>70</v>
      </c>
      <c r="K107" s="30" t="s">
        <v>70</v>
      </c>
      <c r="L107" s="30" t="s">
        <v>70</v>
      </c>
      <c r="M107" s="30" t="s">
        <v>70</v>
      </c>
    </row>
    <row r="108">
      <c r="A108" s="32"/>
      <c r="B108" s="33" t="s">
        <v>65</v>
      </c>
      <c r="C108" s="36" t="s">
        <v>70</v>
      </c>
      <c r="D108" s="36" t="s">
        <v>70</v>
      </c>
      <c r="E108" s="35" t="s">
        <v>70</v>
      </c>
      <c r="F108" s="36" t="s">
        <v>70</v>
      </c>
      <c r="G108" s="36" t="s">
        <v>70</v>
      </c>
      <c r="H108" s="36" t="s">
        <v>70</v>
      </c>
      <c r="I108" s="36" t="s">
        <v>70</v>
      </c>
      <c r="J108" s="36" t="s">
        <v>70</v>
      </c>
      <c r="K108" s="36" t="s">
        <v>70</v>
      </c>
      <c r="L108" s="36" t="s">
        <v>70</v>
      </c>
      <c r="M108" s="36" t="s">
        <v>70</v>
      </c>
    </row>
    <row r="109">
      <c r="A109" s="16" t="s">
        <v>59</v>
      </c>
      <c r="B109" s="39"/>
      <c r="C109" s="42" t="str">
        <f t="shared" ref="C109:M109" si="27">TEXTJOIN(", ", TRUE, C110:C112)</f>
        <v>P, P, P</v>
      </c>
      <c r="D109" s="42" t="str">
        <f t="shared" si="27"/>
        <v>P, P, P</v>
      </c>
      <c r="E109" s="42" t="str">
        <f t="shared" si="27"/>
        <v>P, P, P</v>
      </c>
      <c r="F109" s="42" t="str">
        <f t="shared" si="27"/>
        <v>P, P, P</v>
      </c>
      <c r="G109" s="42" t="str">
        <f t="shared" si="27"/>
        <v>P, P, P</v>
      </c>
      <c r="H109" s="42" t="str">
        <f t="shared" si="27"/>
        <v>P, P, P</v>
      </c>
      <c r="I109" s="42" t="str">
        <f t="shared" si="27"/>
        <v>P, P, P</v>
      </c>
      <c r="J109" s="42" t="str">
        <f t="shared" si="27"/>
        <v>P, P, P</v>
      </c>
      <c r="K109" s="42" t="str">
        <f t="shared" si="27"/>
        <v>P, P, P</v>
      </c>
      <c r="L109" s="42" t="str">
        <f t="shared" si="27"/>
        <v>P, P, P</v>
      </c>
      <c r="M109" s="42" t="str">
        <f t="shared" si="27"/>
        <v>P, P, P</v>
      </c>
    </row>
    <row r="110">
      <c r="A110" s="23"/>
      <c r="B110" s="24" t="s">
        <v>55</v>
      </c>
      <c r="C110" s="25" t="s">
        <v>67</v>
      </c>
      <c r="D110" s="27" t="s">
        <v>67</v>
      </c>
      <c r="E110" s="27" t="s">
        <v>67</v>
      </c>
      <c r="F110" s="27" t="s">
        <v>67</v>
      </c>
      <c r="G110" s="27" t="s">
        <v>67</v>
      </c>
      <c r="H110" s="27" t="s">
        <v>67</v>
      </c>
      <c r="I110" s="27" t="s">
        <v>67</v>
      </c>
      <c r="J110" s="27" t="s">
        <v>67</v>
      </c>
      <c r="K110" s="27" t="s">
        <v>67</v>
      </c>
      <c r="L110" s="27" t="s">
        <v>67</v>
      </c>
      <c r="M110" s="27" t="s">
        <v>67</v>
      </c>
    </row>
    <row r="111">
      <c r="A111" s="23"/>
      <c r="B111" s="2" t="s">
        <v>61</v>
      </c>
      <c r="C111" s="30" t="s">
        <v>67</v>
      </c>
      <c r="D111" s="58" t="s">
        <v>67</v>
      </c>
      <c r="E111" s="30" t="s">
        <v>67</v>
      </c>
      <c r="F111" s="30" t="s">
        <v>67</v>
      </c>
      <c r="G111" s="30" t="s">
        <v>67</v>
      </c>
      <c r="H111" s="30" t="s">
        <v>67</v>
      </c>
      <c r="I111" s="30" t="s">
        <v>67</v>
      </c>
      <c r="J111" s="30" t="s">
        <v>67</v>
      </c>
      <c r="K111" s="30" t="s">
        <v>67</v>
      </c>
      <c r="L111" s="30" t="s">
        <v>67</v>
      </c>
      <c r="M111" s="30" t="s">
        <v>67</v>
      </c>
    </row>
    <row r="112">
      <c r="A112" s="32"/>
      <c r="B112" s="33" t="s">
        <v>65</v>
      </c>
      <c r="C112" s="36" t="s">
        <v>67</v>
      </c>
      <c r="D112" s="36" t="s">
        <v>67</v>
      </c>
      <c r="E112" s="35" t="s">
        <v>67</v>
      </c>
      <c r="F112" s="36" t="s">
        <v>67</v>
      </c>
      <c r="G112" s="36" t="s">
        <v>67</v>
      </c>
      <c r="H112" s="36" t="s">
        <v>67</v>
      </c>
      <c r="I112" s="36" t="s">
        <v>67</v>
      </c>
      <c r="J112" s="36" t="s">
        <v>67</v>
      </c>
      <c r="K112" s="36" t="s">
        <v>67</v>
      </c>
      <c r="L112" s="36" t="s">
        <v>67</v>
      </c>
      <c r="M112" s="36" t="s">
        <v>67</v>
      </c>
    </row>
    <row r="113">
      <c r="A113" s="16" t="s">
        <v>60</v>
      </c>
      <c r="B113" s="39"/>
      <c r="C113" s="42" t="str">
        <f t="shared" ref="C113:M113" si="28">TEXTJOIN(", ", TRUE, C114:C116)</f>
        <v>D, D, D</v>
      </c>
      <c r="D113" s="42" t="str">
        <f t="shared" si="28"/>
        <v>D, D, D</v>
      </c>
      <c r="E113" s="42" t="str">
        <f t="shared" si="28"/>
        <v>D, D, D</v>
      </c>
      <c r="F113" s="42" t="str">
        <f t="shared" si="28"/>
        <v>D, D, D</v>
      </c>
      <c r="G113" s="42" t="str">
        <f t="shared" si="28"/>
        <v>D, D, D</v>
      </c>
      <c r="H113" s="42" t="str">
        <f t="shared" si="28"/>
        <v>D, D, D</v>
      </c>
      <c r="I113" s="42" t="str">
        <f t="shared" si="28"/>
        <v>D, D, D</v>
      </c>
      <c r="J113" s="42" t="str">
        <f t="shared" si="28"/>
        <v>D, D, D</v>
      </c>
      <c r="K113" s="42" t="str">
        <f t="shared" si="28"/>
        <v>D, D, D</v>
      </c>
      <c r="L113" s="42" t="str">
        <f t="shared" si="28"/>
        <v>D, D, D</v>
      </c>
      <c r="M113" s="42" t="str">
        <f t="shared" si="28"/>
        <v>D, D, D</v>
      </c>
    </row>
    <row r="114">
      <c r="A114" s="23"/>
      <c r="B114" s="24" t="s">
        <v>55</v>
      </c>
      <c r="C114" s="25" t="s">
        <v>70</v>
      </c>
      <c r="D114" s="27" t="s">
        <v>70</v>
      </c>
      <c r="E114" s="27" t="s">
        <v>70</v>
      </c>
      <c r="F114" s="27" t="s">
        <v>70</v>
      </c>
      <c r="G114" s="27" t="s">
        <v>70</v>
      </c>
      <c r="H114" s="27" t="s">
        <v>70</v>
      </c>
      <c r="I114" s="27" t="s">
        <v>70</v>
      </c>
      <c r="J114" s="27" t="s">
        <v>70</v>
      </c>
      <c r="K114" s="27" t="s">
        <v>70</v>
      </c>
      <c r="L114" s="27" t="s">
        <v>70</v>
      </c>
      <c r="M114" s="27" t="s">
        <v>70</v>
      </c>
    </row>
    <row r="115">
      <c r="A115" s="23"/>
      <c r="B115" s="2" t="s">
        <v>61</v>
      </c>
      <c r="C115" s="30" t="s">
        <v>70</v>
      </c>
      <c r="D115" s="58" t="s">
        <v>70</v>
      </c>
      <c r="E115" s="30" t="s">
        <v>70</v>
      </c>
      <c r="F115" s="30" t="s">
        <v>70</v>
      </c>
      <c r="G115" s="30" t="s">
        <v>70</v>
      </c>
      <c r="H115" s="30" t="s">
        <v>70</v>
      </c>
      <c r="I115" s="30" t="s">
        <v>70</v>
      </c>
      <c r="J115" s="30" t="s">
        <v>70</v>
      </c>
      <c r="K115" s="30" t="s">
        <v>70</v>
      </c>
      <c r="L115" s="30" t="s">
        <v>70</v>
      </c>
      <c r="M115" s="30" t="s">
        <v>70</v>
      </c>
    </row>
    <row r="116">
      <c r="A116" s="32"/>
      <c r="B116" s="33" t="s">
        <v>65</v>
      </c>
      <c r="C116" s="36" t="s">
        <v>70</v>
      </c>
      <c r="D116" s="36" t="s">
        <v>70</v>
      </c>
      <c r="E116" s="35" t="s">
        <v>70</v>
      </c>
      <c r="F116" s="36" t="s">
        <v>70</v>
      </c>
      <c r="G116" s="36" t="s">
        <v>70</v>
      </c>
      <c r="H116" s="36" t="s">
        <v>70</v>
      </c>
      <c r="I116" s="36" t="s">
        <v>70</v>
      </c>
      <c r="J116" s="36" t="s">
        <v>70</v>
      </c>
      <c r="K116" s="36" t="s">
        <v>70</v>
      </c>
      <c r="L116" s="36" t="s">
        <v>70</v>
      </c>
      <c r="M116" s="36" t="s">
        <v>70</v>
      </c>
    </row>
    <row r="117">
      <c r="A117" s="4"/>
    </row>
    <row r="118">
      <c r="A118" s="78" t="s">
        <v>119</v>
      </c>
      <c r="B118" s="79" t="s">
        <v>57</v>
      </c>
      <c r="C118" s="80">
        <f t="shared" ref="C118:M118" si="29">SUM(COUNTIF(C6:C8, "I"),COUNTIF(C10:C12, "I"),COUNTIF(C14:C16, "I"),COUNTIF(C18:C20, "I"),COUNTIF(C22:C24, "I"),COUNTIF(C26:C28, "I"),COUNTIF(C30:C32, "I"),COUNTIF(C34:C36, "I"),COUNTIF(C38:C40, "I"),COUNTIF(C42:C44, "I"),COUNTIF(C46:C48, "I"),COUNTIF(C50:C52, "I"),COUNTIF(C54:C56, "I"),COUNTIF(C58:C60, "I"),COUNTIF(C62:C64, "I"),COUNTIF(C66:C68, "I"),COUNTIF(C70:C72, "I"),COUNTIF(C74:C76, "I"),COUNTIF(C78:C80, "I"),COUNTIF(C82:C84, "I"),COUNTIF(C86:C88, "I"),COUNTIF(C90:C92, "I"),COUNTIF(C94:C96, "I"),COUNTIF(C98:C100, "I"),COUNTIF(C102:C104, "I"),COUNTIF(C18:C20, "I"),COUNTIF(C106:C108, "I"),COUNTIF(C110:C112, "I"),COUNTIF(C114:C116, "I"))</f>
        <v>11</v>
      </c>
      <c r="D118" s="80">
        <f t="shared" si="29"/>
        <v>9</v>
      </c>
      <c r="E118" s="80">
        <f t="shared" si="29"/>
        <v>5</v>
      </c>
      <c r="F118" s="80">
        <f t="shared" si="29"/>
        <v>9</v>
      </c>
      <c r="G118" s="80">
        <f t="shared" si="29"/>
        <v>4</v>
      </c>
      <c r="H118" s="80">
        <f t="shared" si="29"/>
        <v>1</v>
      </c>
      <c r="I118" s="80">
        <f t="shared" si="29"/>
        <v>1</v>
      </c>
      <c r="J118" s="80">
        <f t="shared" si="29"/>
        <v>0</v>
      </c>
      <c r="K118" s="80">
        <f t="shared" si="29"/>
        <v>0</v>
      </c>
      <c r="L118" s="80">
        <f t="shared" si="29"/>
        <v>1</v>
      </c>
      <c r="M118" s="80">
        <f t="shared" si="29"/>
        <v>1</v>
      </c>
    </row>
    <row r="119">
      <c r="A119" s="81"/>
      <c r="B119" s="79" t="s">
        <v>67</v>
      </c>
      <c r="C119" s="82">
        <f t="shared" ref="C119:M119" si="30">SUM(COUNTIF(C6:C8, "P"),COUNTIF(C10:C12, "P"),COUNTIF(C14:C16, "P"),COUNTIF(C18:C20, "P"),COUNTIF(C22:C24, "P"),COUNTIF(C26:C28, "P"),COUNTIF(C30:C32, "P"),COUNTIF(C34:C36, "P"),COUNTIF(C38:C40, "P"),COUNTIF(C42:C44, "P"),COUNTIF(C46:C48, "P"),COUNTIF(C50:C52, "P"),COUNTIF(C54:C56, "P"),COUNTIF(C58:C60, "P"),COUNTIF(C62:C64, "P"),COUNTIF(C66:C68, "P"),COUNTIF(C70:C72, "P"),COUNTIF(C74:C76, "P"),COUNTIF(C78:C80, "P"),COUNTIF(C82:C84, "P"),COUNTIF(C86:C88, "P"),COUNTIF(C90:C92, "P"),COUNTIF(C94:C96, "P"),COUNTIF(C98:C100, "P"),COUNTIF(C102:C104, "P"),COUNTIF(C18:C20, "P"),COUNTIF(C106:C108, "P"),COUNTIF(C110:C112, "P"),COUNTIF(C114:C116, "P"))</f>
        <v>9</v>
      </c>
      <c r="D119" s="82">
        <f t="shared" si="30"/>
        <v>12</v>
      </c>
      <c r="E119" s="82">
        <f t="shared" si="30"/>
        <v>11</v>
      </c>
      <c r="F119" s="82">
        <f t="shared" si="30"/>
        <v>7</v>
      </c>
      <c r="G119" s="82">
        <f t="shared" si="30"/>
        <v>12</v>
      </c>
      <c r="H119" s="82">
        <f t="shared" si="30"/>
        <v>10</v>
      </c>
      <c r="I119" s="82">
        <f t="shared" si="30"/>
        <v>9</v>
      </c>
      <c r="J119" s="82">
        <f t="shared" si="30"/>
        <v>6</v>
      </c>
      <c r="K119" s="82">
        <f t="shared" si="30"/>
        <v>4</v>
      </c>
      <c r="L119" s="82">
        <f t="shared" si="30"/>
        <v>3</v>
      </c>
      <c r="M119" s="82">
        <f t="shared" si="30"/>
        <v>3</v>
      </c>
    </row>
    <row r="120">
      <c r="A120" s="12"/>
      <c r="B120" s="79" t="s">
        <v>70</v>
      </c>
      <c r="C120" s="82">
        <f t="shared" ref="C120:M120" si="31">SUM(COUNTIF(B6:D8, "D"),COUNTIF(B10:D12, "D"),COUNTIF(B14:D16, "D"),COUNTIF(B18:D20, "D"),COUNTIF(B22:D24, "D"),COUNTIF(B26:D28, "D"),COUNTIF(B30:D32, "D"),COUNTIF(B34:D36, "D"),COUNTIF(B38:D40, "D"),COUNTIF(B42:D44, "D"),COUNTIF(B46:D48, "D"),COUNTIF(B50:D52, "D"),COUNTIF(B54:D56, "D"),COUNTIF(B58:D60, "D"),COUNTIF(B62:D64, "D"),COUNTIF(B66:D68, "D"),COUNTIF(B70:D72, "D"),COUNTIF(B74:D76, "D"),COUNTIF(B78:D80, "D"),COUNTIF(B82:D84, "D"),COUNTIF(B86:D88, "D"),COUNTIF(B90:D92, "D"),COUNTIF(B94:D96, "D"),COUNTIF(B98:D100, "D"),COUNTIF(B102:D104, "D"),COUNTIF(B18:D20, "D"),COUNTIF(B106:D108, "D"),COUNTIF(B110:D112, "D"),COUNTIF(B114:D116, "D"))</f>
        <v>14</v>
      </c>
      <c r="D120" s="82">
        <f t="shared" si="31"/>
        <v>29</v>
      </c>
      <c r="E120" s="82">
        <f t="shared" si="31"/>
        <v>30</v>
      </c>
      <c r="F120" s="82">
        <f t="shared" si="31"/>
        <v>31</v>
      </c>
      <c r="G120" s="82">
        <f t="shared" si="31"/>
        <v>29</v>
      </c>
      <c r="H120" s="82">
        <f t="shared" si="31"/>
        <v>28</v>
      </c>
      <c r="I120" s="82">
        <f t="shared" si="31"/>
        <v>28</v>
      </c>
      <c r="J120" s="82">
        <f t="shared" si="31"/>
        <v>24</v>
      </c>
      <c r="K120" s="82">
        <f t="shared" si="31"/>
        <v>25</v>
      </c>
      <c r="L120" s="82">
        <f t="shared" si="31"/>
        <v>27</v>
      </c>
      <c r="M120" s="82">
        <f t="shared" si="31"/>
        <v>18</v>
      </c>
    </row>
    <row r="121">
      <c r="A121" s="83"/>
    </row>
    <row r="122">
      <c r="A122" s="4"/>
    </row>
    <row r="123">
      <c r="A123" s="4"/>
    </row>
    <row r="124">
      <c r="A124" s="4"/>
    </row>
  </sheetData>
  <mergeCells count="4">
    <mergeCell ref="A3:A4"/>
    <mergeCell ref="B3:B4"/>
    <mergeCell ref="C3:M3"/>
    <mergeCell ref="A118:A1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3" width="12.63"/>
  </cols>
  <sheetData>
    <row r="1">
      <c r="A1" s="1" t="s">
        <v>7</v>
      </c>
    </row>
    <row r="2">
      <c r="A2" s="2"/>
    </row>
    <row r="3">
      <c r="A3" s="5" t="s">
        <v>8</v>
      </c>
      <c r="B3" s="7" t="s">
        <v>10</v>
      </c>
      <c r="C3" s="9" t="s">
        <v>12</v>
      </c>
      <c r="D3" s="10"/>
      <c r="E3" s="10"/>
      <c r="F3" s="10"/>
      <c r="G3" s="10"/>
      <c r="H3" s="10"/>
      <c r="I3" s="10"/>
      <c r="J3" s="10"/>
      <c r="K3" s="10"/>
      <c r="L3" s="10"/>
      <c r="M3" s="11"/>
    </row>
    <row r="4">
      <c r="A4" s="12"/>
      <c r="B4" s="12"/>
      <c r="C4" s="13" t="s">
        <v>17</v>
      </c>
      <c r="D4" s="13" t="s">
        <v>19</v>
      </c>
      <c r="E4" s="13" t="s">
        <v>20</v>
      </c>
      <c r="F4" s="13" t="s">
        <v>22</v>
      </c>
      <c r="G4" s="13" t="s">
        <v>23</v>
      </c>
      <c r="H4" s="13" t="s">
        <v>25</v>
      </c>
      <c r="I4" s="13" t="s">
        <v>26</v>
      </c>
      <c r="J4" s="13" t="s">
        <v>27</v>
      </c>
      <c r="K4" s="13" t="s">
        <v>29</v>
      </c>
      <c r="L4" s="13" t="s">
        <v>30</v>
      </c>
      <c r="M4" s="13" t="s">
        <v>32</v>
      </c>
    </row>
    <row r="5">
      <c r="A5" s="14"/>
      <c r="B5" s="15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>
      <c r="A6" s="19" t="s">
        <v>36</v>
      </c>
      <c r="B6" s="19"/>
      <c r="C6" s="22">
        <f t="shared" ref="C6:M6" si="1">C7+C11+C15+C19+C23+C27+C31+C35+C39+C43+C47+C51+C55+C59+C63+C67+C71+C75+C79+C83+C87+C91+C95+C99+C103+C107+C111+C115</f>
        <v>48</v>
      </c>
      <c r="D6" s="22">
        <f t="shared" si="1"/>
        <v>52</v>
      </c>
      <c r="E6" s="22">
        <f t="shared" si="1"/>
        <v>70</v>
      </c>
      <c r="F6" s="22">
        <f t="shared" si="1"/>
        <v>47</v>
      </c>
      <c r="G6" s="22">
        <f t="shared" si="1"/>
        <v>52</v>
      </c>
      <c r="H6" s="22">
        <f t="shared" si="1"/>
        <v>60</v>
      </c>
      <c r="I6" s="22">
        <f t="shared" si="1"/>
        <v>40</v>
      </c>
      <c r="J6" s="22">
        <f t="shared" si="1"/>
        <v>36</v>
      </c>
      <c r="K6" s="22">
        <f t="shared" si="1"/>
        <v>35</v>
      </c>
      <c r="L6" s="22">
        <f t="shared" si="1"/>
        <v>31</v>
      </c>
      <c r="M6" s="22">
        <f t="shared" si="1"/>
        <v>37</v>
      </c>
    </row>
    <row r="7">
      <c r="A7" s="37" t="s">
        <v>15</v>
      </c>
      <c r="B7" s="38"/>
      <c r="C7" s="40">
        <f t="shared" ref="C7:M7" si="2">SUM(C8:C10)</f>
        <v>1</v>
      </c>
      <c r="D7" s="40">
        <f t="shared" si="2"/>
        <v>1</v>
      </c>
      <c r="E7" s="40">
        <f t="shared" si="2"/>
        <v>1</v>
      </c>
      <c r="F7" s="40">
        <f t="shared" si="2"/>
        <v>0</v>
      </c>
      <c r="G7" s="40">
        <f t="shared" si="2"/>
        <v>0</v>
      </c>
      <c r="H7" s="40">
        <f t="shared" si="2"/>
        <v>0</v>
      </c>
      <c r="I7" s="40">
        <f t="shared" si="2"/>
        <v>0</v>
      </c>
      <c r="J7" s="40">
        <f t="shared" si="2"/>
        <v>0</v>
      </c>
      <c r="K7" s="40">
        <f t="shared" si="2"/>
        <v>0</v>
      </c>
      <c r="L7" s="40">
        <f t="shared" si="2"/>
        <v>0</v>
      </c>
      <c r="M7" s="40">
        <f t="shared" si="2"/>
        <v>0</v>
      </c>
    </row>
    <row r="8">
      <c r="A8" s="43"/>
      <c r="B8" s="38" t="s">
        <v>55</v>
      </c>
      <c r="C8" s="46">
        <f>IFS(Mapping!C6="I", 1, Mapping!C6="P", 2, Mapping!C6="D", 3, TRUE, "")</f>
        <v>1</v>
      </c>
      <c r="D8" s="46" t="str">
        <f>IFS(Mapping!D6="I", 1, Mapping!D6="P", 2, Mapping!D6="D", 3, TRUE, "")</f>
        <v/>
      </c>
      <c r="E8" s="46" t="str">
        <f>IFS(Mapping!E6="I", 1, Mapping!E6="P", 2, Mapping!E6="D", 3, TRUE, "")</f>
        <v/>
      </c>
      <c r="F8" s="46" t="str">
        <f>IFS(Mapping!F6="I", 1, Mapping!F6="P", 2, Mapping!F6="D", 3, TRUE, "")</f>
        <v/>
      </c>
      <c r="G8" s="46" t="str">
        <f>IFS(Mapping!G6="I", 1, Mapping!G6="P", 2, Mapping!G6="D", 3, TRUE, "")</f>
        <v/>
      </c>
      <c r="H8" s="46" t="str">
        <f>IFS(Mapping!H6="I", 1, Mapping!H6="P", 2, Mapping!H6="D", 3, TRUE, "")</f>
        <v/>
      </c>
      <c r="I8" s="46" t="str">
        <f>IFS(Mapping!I6="I", 1, Mapping!I6="P", 2, Mapping!I6="D", 3, TRUE, "")</f>
        <v/>
      </c>
      <c r="J8" s="46" t="str">
        <f>IFS(Mapping!J6="I", 1, Mapping!J6="P", 2, Mapping!J6="D", 3, TRUE, "")</f>
        <v/>
      </c>
      <c r="K8" s="46" t="str">
        <f>IFS(Mapping!K6="I", 1, Mapping!K6="P", 2, Mapping!K6="D", 3, TRUE, "")</f>
        <v/>
      </c>
      <c r="L8" s="46" t="str">
        <f>IFS(Mapping!L6="I", 1, Mapping!L6="P", 2, Mapping!L6="D", 3, TRUE, "")</f>
        <v/>
      </c>
      <c r="M8" s="46" t="str">
        <f>IFS(Mapping!M6="I", 1, Mapping!M6="P", 2, Mapping!M6="D", 3, TRUE, "")</f>
        <v/>
      </c>
    </row>
    <row r="9">
      <c r="A9" s="43"/>
      <c r="B9" s="19" t="s">
        <v>61</v>
      </c>
      <c r="C9" s="49" t="str">
        <f>IFS(Mapping!C7="I", 1, Mapping!C7="P", 2, Mapping!C7="D", 3, TRUE, "")</f>
        <v/>
      </c>
      <c r="D9" s="49">
        <f>IFS(Mapping!D7="I", 1, Mapping!D7="P", 2, Mapping!D7="D", 3, TRUE, "")</f>
        <v>1</v>
      </c>
      <c r="E9" s="49" t="str">
        <f>IFS(Mapping!E7="I", 1, Mapping!E7="P", 2, Mapping!E7="D", 3, TRUE, "")</f>
        <v/>
      </c>
      <c r="F9" s="49" t="str">
        <f>IFS(Mapping!F7="I", 1, Mapping!F7="P", 2, Mapping!F7="D", 3, TRUE, "")</f>
        <v/>
      </c>
      <c r="G9" s="49" t="str">
        <f>IFS(Mapping!G7="I", 1, Mapping!G7="P", 2, Mapping!G7="D", 3, TRUE, "")</f>
        <v/>
      </c>
      <c r="H9" s="49" t="str">
        <f>IFS(Mapping!H7="I", 1, Mapping!H7="P", 2, Mapping!H7="D", 3, TRUE, "")</f>
        <v/>
      </c>
      <c r="I9" s="49" t="str">
        <f>IFS(Mapping!I7="I", 1, Mapping!I7="P", 2, Mapping!I7="D", 3, TRUE, "")</f>
        <v/>
      </c>
      <c r="J9" s="49" t="str">
        <f>IFS(Mapping!J7="I", 1, Mapping!J7="P", 2, Mapping!J7="D", 3, TRUE, "")</f>
        <v/>
      </c>
      <c r="K9" s="49" t="str">
        <f>IFS(Mapping!K7="I", 1, Mapping!K7="P", 2, Mapping!K7="D", 3, TRUE, "")</f>
        <v/>
      </c>
      <c r="L9" s="49" t="str">
        <f>IFS(Mapping!L7="I", 1, Mapping!L7="P", 2, Mapping!L7="D", 3, TRUE, "")</f>
        <v/>
      </c>
      <c r="M9" s="49" t="str">
        <f>IFS(Mapping!M7="I", 1, Mapping!M7="P", 2, Mapping!M7="D", 3, TRUE, "")</f>
        <v/>
      </c>
    </row>
    <row r="10">
      <c r="A10" s="55"/>
      <c r="B10" s="56" t="s">
        <v>65</v>
      </c>
      <c r="C10" s="57" t="str">
        <f>IFS(Mapping!C8="I", 1, Mapping!C8="P", 2, Mapping!C8="D", 3, TRUE, "")</f>
        <v/>
      </c>
      <c r="D10" s="57" t="str">
        <f>IFS(Mapping!D8="I", 1, Mapping!D8="P", 2, Mapping!D8="D", 3, TRUE, "")</f>
        <v/>
      </c>
      <c r="E10" s="57">
        <f>IFS(Mapping!E8="I", 1, Mapping!E8="P", 2, Mapping!E8="D", 3, TRUE, "")</f>
        <v>1</v>
      </c>
      <c r="F10" s="57" t="str">
        <f>IFS(Mapping!F8="I", 1, Mapping!F8="P", 2, Mapping!F8="D", 3, TRUE, "")</f>
        <v/>
      </c>
      <c r="G10" s="57" t="str">
        <f>IFS(Mapping!G8="I", 1, Mapping!G8="P", 2, Mapping!G8="D", 3, TRUE, "")</f>
        <v/>
      </c>
      <c r="H10" s="57" t="str">
        <f>IFS(Mapping!H8="I", 1, Mapping!H8="P", 2, Mapping!H8="D", 3, TRUE, "")</f>
        <v/>
      </c>
      <c r="I10" s="57" t="str">
        <f>IFS(Mapping!I8="I", 1, Mapping!I8="P", 2, Mapping!I8="D", 3, TRUE, "")</f>
        <v/>
      </c>
      <c r="J10" s="57" t="str">
        <f>IFS(Mapping!J8="I", 1, Mapping!J8="P", 2, Mapping!J8="D", 3, TRUE, "")</f>
        <v/>
      </c>
      <c r="K10" s="57" t="str">
        <f>IFS(Mapping!K8="I", 1, Mapping!K8="P", 2, Mapping!K8="D", 3, TRUE, "")</f>
        <v/>
      </c>
      <c r="L10" s="57" t="str">
        <f>IFS(Mapping!L8="I", 1, Mapping!L8="P", 2, Mapping!L8="D", 3, TRUE, "")</f>
        <v/>
      </c>
      <c r="M10" s="57" t="str">
        <f>IFS(Mapping!M8="I", 1, Mapping!M8="P", 2, Mapping!M8="D", 3, TRUE, "")</f>
        <v/>
      </c>
    </row>
    <row r="11">
      <c r="A11" s="37" t="s">
        <v>16</v>
      </c>
      <c r="B11" s="38"/>
      <c r="C11" s="40">
        <f t="shared" ref="C11:M11" si="3">SUM(C12:C14)</f>
        <v>1</v>
      </c>
      <c r="D11" s="40">
        <f t="shared" si="3"/>
        <v>1</v>
      </c>
      <c r="E11" s="40">
        <f t="shared" si="3"/>
        <v>1</v>
      </c>
      <c r="F11" s="40">
        <f t="shared" si="3"/>
        <v>0</v>
      </c>
      <c r="G11" s="40">
        <f t="shared" si="3"/>
        <v>0</v>
      </c>
      <c r="H11" s="40">
        <f t="shared" si="3"/>
        <v>0</v>
      </c>
      <c r="I11" s="40">
        <f t="shared" si="3"/>
        <v>0</v>
      </c>
      <c r="J11" s="40">
        <f t="shared" si="3"/>
        <v>0</v>
      </c>
      <c r="K11" s="40">
        <f t="shared" si="3"/>
        <v>0</v>
      </c>
      <c r="L11" s="40">
        <f t="shared" si="3"/>
        <v>0</v>
      </c>
      <c r="M11" s="40">
        <f t="shared" si="3"/>
        <v>0</v>
      </c>
    </row>
    <row r="12">
      <c r="A12" s="43"/>
      <c r="B12" s="38" t="s">
        <v>55</v>
      </c>
      <c r="C12" s="46">
        <f>IFS(Mapping!C10="I", 1, Mapping!C10="P", 2, Mapping!C10="D", 3, TRUE, "")</f>
        <v>1</v>
      </c>
      <c r="D12" s="46" t="str">
        <f>IFS(Mapping!D10="I", 1, Mapping!D10="P", 2, Mapping!D10="D", 3, TRUE, "")</f>
        <v/>
      </c>
      <c r="E12" s="46" t="str">
        <f>IFS(Mapping!E10="I", 1, Mapping!E10="P", 2, Mapping!E10="D", 3, TRUE, "")</f>
        <v/>
      </c>
      <c r="F12" s="46" t="str">
        <f>IFS(Mapping!F10="I", 1, Mapping!F10="P", 2, Mapping!F10="D", 3, TRUE, "")</f>
        <v/>
      </c>
      <c r="G12" s="46" t="str">
        <f>IFS(Mapping!G10="I", 1, Mapping!G10="P", 2, Mapping!G10="D", 3, TRUE, "")</f>
        <v/>
      </c>
      <c r="H12" s="46" t="str">
        <f>IFS(Mapping!H10="I", 1, Mapping!H10="P", 2, Mapping!H10="D", 3, TRUE, "")</f>
        <v/>
      </c>
      <c r="I12" s="46" t="str">
        <f>IFS(Mapping!I10="I", 1, Mapping!I10="P", 2, Mapping!I10="D", 3, TRUE, "")</f>
        <v/>
      </c>
      <c r="J12" s="46" t="str">
        <f>IFS(Mapping!J10="I", 1, Mapping!J10="P", 2, Mapping!J10="D", 3, TRUE, "")</f>
        <v/>
      </c>
      <c r="K12" s="46" t="str">
        <f>IFS(Mapping!K10="I", 1, Mapping!K10="P", 2, Mapping!K10="D", 3, TRUE, "")</f>
        <v/>
      </c>
      <c r="L12" s="46" t="str">
        <f>IFS(Mapping!L10="I", 1, Mapping!L10="P", 2, Mapping!L10="D", 3, TRUE, "")</f>
        <v/>
      </c>
      <c r="M12" s="46" t="str">
        <f>IFS(Mapping!M10="I", 1, Mapping!M10="P", 2, Mapping!M10="D", 3, TRUE, "")</f>
        <v/>
      </c>
    </row>
    <row r="13">
      <c r="A13" s="43"/>
      <c r="B13" s="19" t="s">
        <v>61</v>
      </c>
      <c r="C13" s="49" t="str">
        <f>IFS(Mapping!C11="I", 1, Mapping!C11="P", 2, Mapping!C11="D", 3, TRUE, "")</f>
        <v/>
      </c>
      <c r="D13" s="49">
        <f>IFS(Mapping!D11="I", 1, Mapping!D11="P", 2, Mapping!D11="D", 3, TRUE, "")</f>
        <v>1</v>
      </c>
      <c r="E13" s="49" t="str">
        <f>IFS(Mapping!E11="I", 1, Mapping!E11="P", 2, Mapping!E11="D", 3, TRUE, "")</f>
        <v/>
      </c>
      <c r="F13" s="49" t="str">
        <f>IFS(Mapping!F11="I", 1, Mapping!F11="P", 2, Mapping!F11="D", 3, TRUE, "")</f>
        <v/>
      </c>
      <c r="G13" s="49" t="str">
        <f>IFS(Mapping!G11="I", 1, Mapping!G11="P", 2, Mapping!G11="D", 3, TRUE, "")</f>
        <v/>
      </c>
      <c r="H13" s="49" t="str">
        <f>IFS(Mapping!H11="I", 1, Mapping!H11="P", 2, Mapping!H11="D", 3, TRUE, "")</f>
        <v/>
      </c>
      <c r="I13" s="49" t="str">
        <f>IFS(Mapping!I11="I", 1, Mapping!I11="P", 2, Mapping!I11="D", 3, TRUE, "")</f>
        <v/>
      </c>
      <c r="J13" s="49" t="str">
        <f>IFS(Mapping!J11="I", 1, Mapping!J11="P", 2, Mapping!J11="D", 3, TRUE, "")</f>
        <v/>
      </c>
      <c r="K13" s="49" t="str">
        <f>IFS(Mapping!K11="I", 1, Mapping!K11="P", 2, Mapping!K11="D", 3, TRUE, "")</f>
        <v/>
      </c>
      <c r="L13" s="49" t="str">
        <f>IFS(Mapping!L11="I", 1, Mapping!L11="P", 2, Mapping!L11="D", 3, TRUE, "")</f>
        <v/>
      </c>
      <c r="M13" s="49" t="str">
        <f>IFS(Mapping!M11="I", 1, Mapping!M11="P", 2, Mapping!M11="D", 3, TRUE, "")</f>
        <v/>
      </c>
    </row>
    <row r="14">
      <c r="A14" s="55"/>
      <c r="B14" s="56" t="s">
        <v>65</v>
      </c>
      <c r="C14" s="57" t="str">
        <f>IFS(Mapping!C12="I", 1, Mapping!C12="P", 2, Mapping!C12="D", 3, TRUE, "")</f>
        <v/>
      </c>
      <c r="D14" s="57" t="str">
        <f>IFS(Mapping!D12="I", 1, Mapping!D12="P", 2, Mapping!D12="D", 3, TRUE, "")</f>
        <v/>
      </c>
      <c r="E14" s="57">
        <f>IFS(Mapping!E12="I", 1, Mapping!E12="P", 2, Mapping!E12="D", 3, TRUE, "")</f>
        <v>1</v>
      </c>
      <c r="F14" s="57" t="str">
        <f>IFS(Mapping!F12="I", 1, Mapping!F12="P", 2, Mapping!F12="D", 3, TRUE, "")</f>
        <v/>
      </c>
      <c r="G14" s="57" t="str">
        <f>IFS(Mapping!G12="I", 1, Mapping!G12="P", 2, Mapping!G12="D", 3, TRUE, "")</f>
        <v/>
      </c>
      <c r="H14" s="57" t="str">
        <f>IFS(Mapping!H12="I", 1, Mapping!H12="P", 2, Mapping!H12="D", 3, TRUE, "")</f>
        <v/>
      </c>
      <c r="I14" s="57" t="str">
        <f>IFS(Mapping!I12="I", 1, Mapping!I12="P", 2, Mapping!I12="D", 3, TRUE, "")</f>
        <v/>
      </c>
      <c r="J14" s="57" t="str">
        <f>IFS(Mapping!J12="I", 1, Mapping!J12="P", 2, Mapping!J12="D", 3, TRUE, "")</f>
        <v/>
      </c>
      <c r="K14" s="57" t="str">
        <f>IFS(Mapping!K12="I", 1, Mapping!K12="P", 2, Mapping!K12="D", 3, TRUE, "")</f>
        <v/>
      </c>
      <c r="L14" s="57" t="str">
        <f>IFS(Mapping!L12="I", 1, Mapping!L12="P", 2, Mapping!L12="D", 3, TRUE, "")</f>
        <v/>
      </c>
      <c r="M14" s="57" t="str">
        <f>IFS(Mapping!M12="I", 1, Mapping!M12="P", 2, Mapping!M12="D", 3, TRUE, "")</f>
        <v/>
      </c>
    </row>
    <row r="15">
      <c r="A15" s="37" t="s">
        <v>18</v>
      </c>
      <c r="B15" s="38"/>
      <c r="C15" s="40">
        <f t="shared" ref="C15:M15" si="4">SUM(C16:C18)</f>
        <v>1</v>
      </c>
      <c r="D15" s="40">
        <f t="shared" si="4"/>
        <v>1</v>
      </c>
      <c r="E15" s="40">
        <f t="shared" si="4"/>
        <v>1</v>
      </c>
      <c r="F15" s="40">
        <f t="shared" si="4"/>
        <v>0</v>
      </c>
      <c r="G15" s="40">
        <f t="shared" si="4"/>
        <v>0</v>
      </c>
      <c r="H15" s="40">
        <f t="shared" si="4"/>
        <v>0</v>
      </c>
      <c r="I15" s="40">
        <f t="shared" si="4"/>
        <v>0</v>
      </c>
      <c r="J15" s="40">
        <f t="shared" si="4"/>
        <v>0</v>
      </c>
      <c r="K15" s="40">
        <f t="shared" si="4"/>
        <v>0</v>
      </c>
      <c r="L15" s="40">
        <f t="shared" si="4"/>
        <v>0</v>
      </c>
      <c r="M15" s="40">
        <f t="shared" si="4"/>
        <v>0</v>
      </c>
    </row>
    <row r="16">
      <c r="A16" s="43"/>
      <c r="B16" s="38" t="s">
        <v>55</v>
      </c>
      <c r="C16" s="46">
        <f>IFS(Mapping!C14="I", 1, Mapping!C14="P", 2, Mapping!C14="D", 3, TRUE, "")</f>
        <v>1</v>
      </c>
      <c r="D16" s="46" t="str">
        <f>IFS(Mapping!D14="I", 1, Mapping!D14="P", 2, Mapping!D14="D", 3, TRUE, "")</f>
        <v/>
      </c>
      <c r="E16" s="46" t="str">
        <f>IFS(Mapping!E14="I", 1, Mapping!E14="P", 2, Mapping!E14="D", 3, TRUE, "")</f>
        <v/>
      </c>
      <c r="F16" s="46" t="str">
        <f>IFS(Mapping!F14="I", 1, Mapping!F14="P", 2, Mapping!F14="D", 3, TRUE, "")</f>
        <v/>
      </c>
      <c r="G16" s="46" t="str">
        <f>IFS(Mapping!G14="I", 1, Mapping!G14="P", 2, Mapping!G14="D", 3, TRUE, "")</f>
        <v/>
      </c>
      <c r="H16" s="46" t="str">
        <f>IFS(Mapping!H14="I", 1, Mapping!H14="P", 2, Mapping!H14="D", 3, TRUE, "")</f>
        <v/>
      </c>
      <c r="I16" s="46" t="str">
        <f>IFS(Mapping!I14="I", 1, Mapping!I14="P", 2, Mapping!I14="D", 3, TRUE, "")</f>
        <v/>
      </c>
      <c r="J16" s="46" t="str">
        <f>IFS(Mapping!J14="I", 1, Mapping!J14="P", 2, Mapping!J14="D", 3, TRUE, "")</f>
        <v/>
      </c>
      <c r="K16" s="46" t="str">
        <f>IFS(Mapping!K14="I", 1, Mapping!K14="P", 2, Mapping!K14="D", 3, TRUE, "")</f>
        <v/>
      </c>
      <c r="L16" s="46" t="str">
        <f>IFS(Mapping!L14="I", 1, Mapping!L14="P", 2, Mapping!L14="D", 3, TRUE, "")</f>
        <v/>
      </c>
      <c r="M16" s="46" t="str">
        <f>IFS(Mapping!M14="I", 1, Mapping!M14="P", 2, Mapping!M14="D", 3, TRUE, "")</f>
        <v/>
      </c>
    </row>
    <row r="17">
      <c r="A17" s="43"/>
      <c r="B17" s="19" t="s">
        <v>61</v>
      </c>
      <c r="C17" s="49" t="str">
        <f>IFS(Mapping!C15="I", 1, Mapping!C15="P", 2, Mapping!C15="D", 3, TRUE, "")</f>
        <v/>
      </c>
      <c r="D17" s="49">
        <f>IFS(Mapping!D15="I", 1, Mapping!D15="P", 2, Mapping!D15="D", 3, TRUE, "")</f>
        <v>1</v>
      </c>
      <c r="E17" s="49" t="str">
        <f>IFS(Mapping!E15="I", 1, Mapping!E15="P", 2, Mapping!E15="D", 3, TRUE, "")</f>
        <v/>
      </c>
      <c r="F17" s="49" t="str">
        <f>IFS(Mapping!F15="I", 1, Mapping!F15="P", 2, Mapping!F15="D", 3, TRUE, "")</f>
        <v/>
      </c>
      <c r="G17" s="49" t="str">
        <f>IFS(Mapping!G15="I", 1, Mapping!G15="P", 2, Mapping!G15="D", 3, TRUE, "")</f>
        <v/>
      </c>
      <c r="H17" s="49" t="str">
        <f>IFS(Mapping!H15="I", 1, Mapping!H15="P", 2, Mapping!H15="D", 3, TRUE, "")</f>
        <v/>
      </c>
      <c r="I17" s="49" t="str">
        <f>IFS(Mapping!I15="I", 1, Mapping!I15="P", 2, Mapping!I15="D", 3, TRUE, "")</f>
        <v/>
      </c>
      <c r="J17" s="49" t="str">
        <f>IFS(Mapping!J15="I", 1, Mapping!J15="P", 2, Mapping!J15="D", 3, TRUE, "")</f>
        <v/>
      </c>
      <c r="K17" s="49" t="str">
        <f>IFS(Mapping!K15="I", 1, Mapping!K15="P", 2, Mapping!K15="D", 3, TRUE, "")</f>
        <v/>
      </c>
      <c r="L17" s="49" t="str">
        <f>IFS(Mapping!L15="I", 1, Mapping!L15="P", 2, Mapping!L15="D", 3, TRUE, "")</f>
        <v/>
      </c>
      <c r="M17" s="49" t="str">
        <f>IFS(Mapping!M15="I", 1, Mapping!M15="P", 2, Mapping!M15="D", 3, TRUE, "")</f>
        <v/>
      </c>
    </row>
    <row r="18">
      <c r="A18" s="55"/>
      <c r="B18" s="56" t="s">
        <v>65</v>
      </c>
      <c r="C18" s="57" t="str">
        <f>IFS(Mapping!C16="I", 1, Mapping!C16="P", 2, Mapping!C16="D", 3, TRUE, "")</f>
        <v/>
      </c>
      <c r="D18" s="57" t="str">
        <f>IFS(Mapping!D16="I", 1, Mapping!D16="P", 2, Mapping!D16="D", 3, TRUE, "")</f>
        <v/>
      </c>
      <c r="E18" s="57">
        <f>IFS(Mapping!E16="I", 1, Mapping!E16="P", 2, Mapping!E16="D", 3, TRUE, "")</f>
        <v>1</v>
      </c>
      <c r="F18" s="57" t="str">
        <f>IFS(Mapping!F16="I", 1, Mapping!F16="P", 2, Mapping!F16="D", 3, TRUE, "")</f>
        <v/>
      </c>
      <c r="G18" s="57" t="str">
        <f>IFS(Mapping!G16="I", 1, Mapping!G16="P", 2, Mapping!G16="D", 3, TRUE, "")</f>
        <v/>
      </c>
      <c r="H18" s="57" t="str">
        <f>IFS(Mapping!H16="I", 1, Mapping!H16="P", 2, Mapping!H16="D", 3, TRUE, "")</f>
        <v/>
      </c>
      <c r="I18" s="57" t="str">
        <f>IFS(Mapping!I16="I", 1, Mapping!I16="P", 2, Mapping!I16="D", 3, TRUE, "")</f>
        <v/>
      </c>
      <c r="J18" s="57" t="str">
        <f>IFS(Mapping!J16="I", 1, Mapping!J16="P", 2, Mapping!J16="D", 3, TRUE, "")</f>
        <v/>
      </c>
      <c r="K18" s="57" t="str">
        <f>IFS(Mapping!K16="I", 1, Mapping!K16="P", 2, Mapping!K16="D", 3, TRUE, "")</f>
        <v/>
      </c>
      <c r="L18" s="57" t="str">
        <f>IFS(Mapping!L16="I", 1, Mapping!L16="P", 2, Mapping!L16="D", 3, TRUE, "")</f>
        <v/>
      </c>
      <c r="M18" s="57" t="str">
        <f>IFS(Mapping!M16="I", 1, Mapping!M16="P", 2, Mapping!M16="D", 3, TRUE, "")</f>
        <v/>
      </c>
    </row>
    <row r="19">
      <c r="A19" s="37" t="s">
        <v>21</v>
      </c>
      <c r="B19" s="38"/>
      <c r="C19" s="40">
        <f t="shared" ref="C19:M19" si="5">SUM(C20:C22)</f>
        <v>2</v>
      </c>
      <c r="D19" s="40">
        <f t="shared" si="5"/>
        <v>2</v>
      </c>
      <c r="E19" s="40">
        <f t="shared" si="5"/>
        <v>2</v>
      </c>
      <c r="F19" s="40">
        <f t="shared" si="5"/>
        <v>0</v>
      </c>
      <c r="G19" s="40">
        <f t="shared" si="5"/>
        <v>0</v>
      </c>
      <c r="H19" s="40">
        <f t="shared" si="5"/>
        <v>0</v>
      </c>
      <c r="I19" s="40">
        <f t="shared" si="5"/>
        <v>0</v>
      </c>
      <c r="J19" s="40">
        <f t="shared" si="5"/>
        <v>0</v>
      </c>
      <c r="K19" s="40">
        <f t="shared" si="5"/>
        <v>0</v>
      </c>
      <c r="L19" s="40">
        <f t="shared" si="5"/>
        <v>0</v>
      </c>
      <c r="M19" s="40">
        <f t="shared" si="5"/>
        <v>0</v>
      </c>
    </row>
    <row r="20">
      <c r="A20" s="43"/>
      <c r="B20" s="38" t="s">
        <v>55</v>
      </c>
      <c r="C20" s="46">
        <f>IFS(Mapping!C18="I", 1, Mapping!C18="P", 2, Mapping!C18="D", 3, TRUE, "")</f>
        <v>2</v>
      </c>
      <c r="D20" s="46" t="str">
        <f>IFS(Mapping!D18="I", 1, Mapping!D18="P", 2, Mapping!D18="D", 3, TRUE, "")</f>
        <v/>
      </c>
      <c r="E20" s="46" t="str">
        <f>IFS(Mapping!E18="I", 1, Mapping!E18="P", 2, Mapping!E18="D", 3, TRUE, "")</f>
        <v/>
      </c>
      <c r="F20" s="46" t="str">
        <f>IFS(Mapping!F18="I", 1, Mapping!F18="P", 2, Mapping!F18="D", 3, TRUE, "")</f>
        <v/>
      </c>
      <c r="G20" s="46" t="str">
        <f>IFS(Mapping!G18="I", 1, Mapping!G18="P", 2, Mapping!G18="D", 3, TRUE, "")</f>
        <v/>
      </c>
      <c r="H20" s="46" t="str">
        <f>IFS(Mapping!H18="I", 1, Mapping!H18="P", 2, Mapping!H18="D", 3, TRUE, "")</f>
        <v/>
      </c>
      <c r="I20" s="46" t="str">
        <f>IFS(Mapping!I18="I", 1, Mapping!I18="P", 2, Mapping!I18="D", 3, TRUE, "")</f>
        <v/>
      </c>
      <c r="J20" s="46" t="str">
        <f>IFS(Mapping!J18="I", 1, Mapping!J18="P", 2, Mapping!J18="D", 3, TRUE, "")</f>
        <v/>
      </c>
      <c r="K20" s="46" t="str">
        <f>IFS(Mapping!K18="I", 1, Mapping!K18="P", 2, Mapping!K18="D", 3, TRUE, "")</f>
        <v/>
      </c>
      <c r="L20" s="46" t="str">
        <f>IFS(Mapping!L18="I", 1, Mapping!L18="P", 2, Mapping!L18="D", 3, TRUE, "")</f>
        <v/>
      </c>
      <c r="M20" s="46" t="str">
        <f>IFS(Mapping!M18="I", 1, Mapping!M18="P", 2, Mapping!M18="D", 3, TRUE, "")</f>
        <v/>
      </c>
    </row>
    <row r="21">
      <c r="A21" s="43"/>
      <c r="B21" s="19" t="s">
        <v>61</v>
      </c>
      <c r="C21" s="49" t="str">
        <f>IFS(Mapping!C19="I", 1, Mapping!C19="P", 2, Mapping!C19="D", 3, TRUE, "")</f>
        <v/>
      </c>
      <c r="D21" s="49">
        <f>IFS(Mapping!D19="I", 1, Mapping!D19="P", 2, Mapping!D19="D", 3, TRUE, "")</f>
        <v>2</v>
      </c>
      <c r="E21" s="49" t="str">
        <f>IFS(Mapping!E19="I", 1, Mapping!E19="P", 2, Mapping!E19="D", 3, TRUE, "")</f>
        <v/>
      </c>
      <c r="F21" s="49" t="str">
        <f>IFS(Mapping!F19="I", 1, Mapping!F19="P", 2, Mapping!F19="D", 3, TRUE, "")</f>
        <v/>
      </c>
      <c r="G21" s="49" t="str">
        <f>IFS(Mapping!G19="I", 1, Mapping!G19="P", 2, Mapping!G19="D", 3, TRUE, "")</f>
        <v/>
      </c>
      <c r="H21" s="49" t="str">
        <f>IFS(Mapping!H19="I", 1, Mapping!H19="P", 2, Mapping!H19="D", 3, TRUE, "")</f>
        <v/>
      </c>
      <c r="I21" s="49" t="str">
        <f>IFS(Mapping!I19="I", 1, Mapping!I19="P", 2, Mapping!I19="D", 3, TRUE, "")</f>
        <v/>
      </c>
      <c r="J21" s="49" t="str">
        <f>IFS(Mapping!J19="I", 1, Mapping!J19="P", 2, Mapping!J19="D", 3, TRUE, "")</f>
        <v/>
      </c>
      <c r="K21" s="49" t="str">
        <f>IFS(Mapping!K19="I", 1, Mapping!K19="P", 2, Mapping!K19="D", 3, TRUE, "")</f>
        <v/>
      </c>
      <c r="L21" s="49" t="str">
        <f>IFS(Mapping!L19="I", 1, Mapping!L19="P", 2, Mapping!L19="D", 3, TRUE, "")</f>
        <v/>
      </c>
      <c r="M21" s="49" t="str">
        <f>IFS(Mapping!M19="I", 1, Mapping!M19="P", 2, Mapping!M19="D", 3, TRUE, "")</f>
        <v/>
      </c>
    </row>
    <row r="22">
      <c r="A22" s="55"/>
      <c r="B22" s="56" t="s">
        <v>65</v>
      </c>
      <c r="C22" s="57" t="str">
        <f>IFS(Mapping!C20="I", 1, Mapping!C20="P", 2, Mapping!C20="D", 3, TRUE, "")</f>
        <v/>
      </c>
      <c r="D22" s="57" t="str">
        <f>IFS(Mapping!D20="I", 1, Mapping!D20="P", 2, Mapping!D20="D", 3, TRUE, "")</f>
        <v/>
      </c>
      <c r="E22" s="57">
        <f>IFS(Mapping!E20="I", 1, Mapping!E20="P", 2, Mapping!E20="D", 3, TRUE, "")</f>
        <v>2</v>
      </c>
      <c r="F22" s="57" t="str">
        <f>IFS(Mapping!F20="I", 1, Mapping!F20="P", 2, Mapping!F20="D", 3, TRUE, "")</f>
        <v/>
      </c>
      <c r="G22" s="57" t="str">
        <f>IFS(Mapping!G20="I", 1, Mapping!G20="P", 2, Mapping!G20="D", 3, TRUE, "")</f>
        <v/>
      </c>
      <c r="H22" s="57" t="str">
        <f>IFS(Mapping!H20="I", 1, Mapping!H20="P", 2, Mapping!H20="D", 3, TRUE, "")</f>
        <v/>
      </c>
      <c r="I22" s="57" t="str">
        <f>IFS(Mapping!I20="I", 1, Mapping!I20="P", 2, Mapping!I20="D", 3, TRUE, "")</f>
        <v/>
      </c>
      <c r="J22" s="57" t="str">
        <f>IFS(Mapping!J20="I", 1, Mapping!J20="P", 2, Mapping!J20="D", 3, TRUE, "")</f>
        <v/>
      </c>
      <c r="K22" s="57" t="str">
        <f>IFS(Mapping!K20="I", 1, Mapping!K20="P", 2, Mapping!K20="D", 3, TRUE, "")</f>
        <v/>
      </c>
      <c r="L22" s="57" t="str">
        <f>IFS(Mapping!L20="I", 1, Mapping!L20="P", 2, Mapping!L20="D", 3, TRUE, "")</f>
        <v/>
      </c>
      <c r="M22" s="57" t="str">
        <f>IFS(Mapping!M20="I", 1, Mapping!M20="P", 2, Mapping!M20="D", 3, TRUE, "")</f>
        <v/>
      </c>
    </row>
    <row r="23">
      <c r="A23" s="37" t="s">
        <v>24</v>
      </c>
      <c r="B23" s="38"/>
      <c r="C23" s="40">
        <f t="shared" ref="C23:M23" si="6">SUM(C24:C26)</f>
        <v>2</v>
      </c>
      <c r="D23" s="40">
        <f t="shared" si="6"/>
        <v>2</v>
      </c>
      <c r="E23" s="40">
        <f t="shared" si="6"/>
        <v>2</v>
      </c>
      <c r="F23" s="40">
        <f t="shared" si="6"/>
        <v>0</v>
      </c>
      <c r="G23" s="40">
        <f t="shared" si="6"/>
        <v>0</v>
      </c>
      <c r="H23" s="40">
        <f t="shared" si="6"/>
        <v>0</v>
      </c>
      <c r="I23" s="40">
        <f t="shared" si="6"/>
        <v>0</v>
      </c>
      <c r="J23" s="40">
        <f t="shared" si="6"/>
        <v>0</v>
      </c>
      <c r="K23" s="40">
        <f t="shared" si="6"/>
        <v>0</v>
      </c>
      <c r="L23" s="40">
        <f t="shared" si="6"/>
        <v>0</v>
      </c>
      <c r="M23" s="40">
        <f t="shared" si="6"/>
        <v>0</v>
      </c>
    </row>
    <row r="24">
      <c r="A24" s="43"/>
      <c r="B24" s="38" t="s">
        <v>55</v>
      </c>
      <c r="C24" s="46">
        <f>IFS(Mapping!C22="I", 1, Mapping!C22="P", 2, Mapping!C22="D", 3, TRUE, "")</f>
        <v>2</v>
      </c>
      <c r="D24" s="46" t="str">
        <f>IFS(Mapping!D22="I", 1, Mapping!D22="P", 2, Mapping!D22="D", 3, TRUE, "")</f>
        <v/>
      </c>
      <c r="E24" s="46" t="str">
        <f>IFS(Mapping!E22="I", 1, Mapping!E22="P", 2, Mapping!E22="D", 3, TRUE, "")</f>
        <v/>
      </c>
      <c r="F24" s="46" t="str">
        <f>IFS(Mapping!F22="I", 1, Mapping!F22="P", 2, Mapping!F22="D", 3, TRUE, "")</f>
        <v/>
      </c>
      <c r="G24" s="46" t="str">
        <f>IFS(Mapping!G22="I", 1, Mapping!G22="P", 2, Mapping!G22="D", 3, TRUE, "")</f>
        <v/>
      </c>
      <c r="H24" s="46" t="str">
        <f>IFS(Mapping!H22="I", 1, Mapping!H22="P", 2, Mapping!H22="D", 3, TRUE, "")</f>
        <v/>
      </c>
      <c r="I24" s="46" t="str">
        <f>IFS(Mapping!I22="I", 1, Mapping!I22="P", 2, Mapping!I22="D", 3, TRUE, "")</f>
        <v/>
      </c>
      <c r="J24" s="46" t="str">
        <f>IFS(Mapping!J22="I", 1, Mapping!J22="P", 2, Mapping!J22="D", 3, TRUE, "")</f>
        <v/>
      </c>
      <c r="K24" s="46" t="str">
        <f>IFS(Mapping!K22="I", 1, Mapping!K22="P", 2, Mapping!K22="D", 3, TRUE, "")</f>
        <v/>
      </c>
      <c r="L24" s="46" t="str">
        <f>IFS(Mapping!L22="I", 1, Mapping!L22="P", 2, Mapping!L22="D", 3, TRUE, "")</f>
        <v/>
      </c>
      <c r="M24" s="46" t="str">
        <f>IFS(Mapping!M22="I", 1, Mapping!M22="P", 2, Mapping!M22="D", 3, TRUE, "")</f>
        <v/>
      </c>
    </row>
    <row r="25">
      <c r="A25" s="43"/>
      <c r="B25" s="19" t="s">
        <v>61</v>
      </c>
      <c r="C25" s="49" t="str">
        <f>IFS(Mapping!C23="I", 1, Mapping!C23="P", 2, Mapping!C23="D", 3, TRUE, "")</f>
        <v/>
      </c>
      <c r="D25" s="49">
        <f>IFS(Mapping!D23="I", 1, Mapping!D23="P", 2, Mapping!D23="D", 3, TRUE, "")</f>
        <v>2</v>
      </c>
      <c r="E25" s="49" t="str">
        <f>IFS(Mapping!E23="I", 1, Mapping!E23="P", 2, Mapping!E23="D", 3, TRUE, "")</f>
        <v/>
      </c>
      <c r="F25" s="49" t="str">
        <f>IFS(Mapping!F23="I", 1, Mapping!F23="P", 2, Mapping!F23="D", 3, TRUE, "")</f>
        <v/>
      </c>
      <c r="G25" s="49" t="str">
        <f>IFS(Mapping!G23="I", 1, Mapping!G23="P", 2, Mapping!G23="D", 3, TRUE, "")</f>
        <v/>
      </c>
      <c r="H25" s="49" t="str">
        <f>IFS(Mapping!H23="I", 1, Mapping!H23="P", 2, Mapping!H23="D", 3, TRUE, "")</f>
        <v/>
      </c>
      <c r="I25" s="49" t="str">
        <f>IFS(Mapping!I23="I", 1, Mapping!I23="P", 2, Mapping!I23="D", 3, TRUE, "")</f>
        <v/>
      </c>
      <c r="J25" s="49" t="str">
        <f>IFS(Mapping!J23="I", 1, Mapping!J23="P", 2, Mapping!J23="D", 3, TRUE, "")</f>
        <v/>
      </c>
      <c r="K25" s="49" t="str">
        <f>IFS(Mapping!K23="I", 1, Mapping!K23="P", 2, Mapping!K23="D", 3, TRUE, "")</f>
        <v/>
      </c>
      <c r="L25" s="49" t="str">
        <f>IFS(Mapping!L23="I", 1, Mapping!L23="P", 2, Mapping!L23="D", 3, TRUE, "")</f>
        <v/>
      </c>
      <c r="M25" s="49" t="str">
        <f>IFS(Mapping!M23="I", 1, Mapping!M23="P", 2, Mapping!M23="D", 3, TRUE, "")</f>
        <v/>
      </c>
    </row>
    <row r="26">
      <c r="A26" s="55"/>
      <c r="B26" s="56" t="s">
        <v>65</v>
      </c>
      <c r="C26" s="57" t="str">
        <f>IFS(Mapping!C24="I", 1, Mapping!C24="P", 2, Mapping!C24="D", 3, TRUE, "")</f>
        <v/>
      </c>
      <c r="D26" s="57" t="str">
        <f>IFS(Mapping!D24="I", 1, Mapping!D24="P", 2, Mapping!D24="D", 3, TRUE, "")</f>
        <v/>
      </c>
      <c r="E26" s="57">
        <f>IFS(Mapping!E24="I", 1, Mapping!E24="P", 2, Mapping!E24="D", 3, TRUE, "")</f>
        <v>2</v>
      </c>
      <c r="F26" s="57" t="str">
        <f>IFS(Mapping!F24="I", 1, Mapping!F24="P", 2, Mapping!F24="D", 3, TRUE, "")</f>
        <v/>
      </c>
      <c r="G26" s="57" t="str">
        <f>IFS(Mapping!G24="I", 1, Mapping!G24="P", 2, Mapping!G24="D", 3, TRUE, "")</f>
        <v/>
      </c>
      <c r="H26" s="57" t="str">
        <f>IFS(Mapping!H24="I", 1, Mapping!H24="P", 2, Mapping!H24="D", 3, TRUE, "")</f>
        <v/>
      </c>
      <c r="I26" s="57" t="str">
        <f>IFS(Mapping!I24="I", 1, Mapping!I24="P", 2, Mapping!I24="D", 3, TRUE, "")</f>
        <v/>
      </c>
      <c r="J26" s="57" t="str">
        <f>IFS(Mapping!J24="I", 1, Mapping!J24="P", 2, Mapping!J24="D", 3, TRUE, "")</f>
        <v/>
      </c>
      <c r="K26" s="57" t="str">
        <f>IFS(Mapping!K24="I", 1, Mapping!K24="P", 2, Mapping!K24="D", 3, TRUE, "")</f>
        <v/>
      </c>
      <c r="L26" s="57" t="str">
        <f>IFS(Mapping!L24="I", 1, Mapping!L24="P", 2, Mapping!L24="D", 3, TRUE, "")</f>
        <v/>
      </c>
      <c r="M26" s="57" t="str">
        <f>IFS(Mapping!M24="I", 1, Mapping!M24="P", 2, Mapping!M24="D", 3, TRUE, "")</f>
        <v/>
      </c>
    </row>
    <row r="27">
      <c r="A27" s="37" t="s">
        <v>28</v>
      </c>
      <c r="B27" s="38"/>
      <c r="C27" s="40">
        <f t="shared" ref="C27:M27" si="7">SUM(C28:C30)</f>
        <v>3</v>
      </c>
      <c r="D27" s="40">
        <f t="shared" si="7"/>
        <v>3</v>
      </c>
      <c r="E27" s="40">
        <f t="shared" si="7"/>
        <v>3</v>
      </c>
      <c r="F27" s="40">
        <f t="shared" si="7"/>
        <v>0</v>
      </c>
      <c r="G27" s="40">
        <f t="shared" si="7"/>
        <v>0</v>
      </c>
      <c r="H27" s="40">
        <f t="shared" si="7"/>
        <v>0</v>
      </c>
      <c r="I27" s="40">
        <f t="shared" si="7"/>
        <v>0</v>
      </c>
      <c r="J27" s="40">
        <f t="shared" si="7"/>
        <v>0</v>
      </c>
      <c r="K27" s="40">
        <f t="shared" si="7"/>
        <v>0</v>
      </c>
      <c r="L27" s="40">
        <f t="shared" si="7"/>
        <v>0</v>
      </c>
      <c r="M27" s="40">
        <f t="shared" si="7"/>
        <v>0</v>
      </c>
    </row>
    <row r="28">
      <c r="A28" s="43"/>
      <c r="B28" s="38" t="s">
        <v>55</v>
      </c>
      <c r="C28" s="46">
        <f>IFS(Mapping!C26="I", 1, Mapping!C26="P", 2, Mapping!C26="D", 3, TRUE, "")</f>
        <v>3</v>
      </c>
      <c r="D28" s="46" t="str">
        <f>IFS(Mapping!D26="I", 1, Mapping!D26="P", 2, Mapping!D26="D", 3, TRUE, "")</f>
        <v/>
      </c>
      <c r="E28" s="46" t="str">
        <f>IFS(Mapping!E26="I", 1, Mapping!E26="P", 2, Mapping!E26="D", 3, TRUE, "")</f>
        <v/>
      </c>
      <c r="F28" s="46" t="str">
        <f>IFS(Mapping!F26="I", 1, Mapping!F26="P", 2, Mapping!F26="D", 3, TRUE, "")</f>
        <v/>
      </c>
      <c r="G28" s="46" t="str">
        <f>IFS(Mapping!G26="I", 1, Mapping!G26="P", 2, Mapping!G26="D", 3, TRUE, "")</f>
        <v/>
      </c>
      <c r="H28" s="46" t="str">
        <f>IFS(Mapping!H26="I", 1, Mapping!H26="P", 2, Mapping!H26="D", 3, TRUE, "")</f>
        <v/>
      </c>
      <c r="I28" s="46" t="str">
        <f>IFS(Mapping!I26="I", 1, Mapping!I26="P", 2, Mapping!I26="D", 3, TRUE, "")</f>
        <v/>
      </c>
      <c r="J28" s="46" t="str">
        <f>IFS(Mapping!J26="I", 1, Mapping!J26="P", 2, Mapping!J26="D", 3, TRUE, "")</f>
        <v/>
      </c>
      <c r="K28" s="46" t="str">
        <f>IFS(Mapping!K26="I", 1, Mapping!K26="P", 2, Mapping!K26="D", 3, TRUE, "")</f>
        <v/>
      </c>
      <c r="L28" s="46" t="str">
        <f>IFS(Mapping!L26="I", 1, Mapping!L26="P", 2, Mapping!L26="D", 3, TRUE, "")</f>
        <v/>
      </c>
      <c r="M28" s="46" t="str">
        <f>IFS(Mapping!M26="I", 1, Mapping!M26="P", 2, Mapping!M26="D", 3, TRUE, "")</f>
        <v/>
      </c>
    </row>
    <row r="29">
      <c r="A29" s="43"/>
      <c r="B29" s="19" t="s">
        <v>61</v>
      </c>
      <c r="C29" s="49" t="str">
        <f>IFS(Mapping!C27="I", 1, Mapping!C27="P", 2, Mapping!C27="D", 3, TRUE, "")</f>
        <v/>
      </c>
      <c r="D29" s="49">
        <f>IFS(Mapping!D27="I", 1, Mapping!D27="P", 2, Mapping!D27="D", 3, TRUE, "")</f>
        <v>3</v>
      </c>
      <c r="E29" s="49" t="str">
        <f>IFS(Mapping!E27="I", 1, Mapping!E27="P", 2, Mapping!E27="D", 3, TRUE, "")</f>
        <v/>
      </c>
      <c r="F29" s="49" t="str">
        <f>IFS(Mapping!F27="I", 1, Mapping!F27="P", 2, Mapping!F27="D", 3, TRUE, "")</f>
        <v/>
      </c>
      <c r="G29" s="49" t="str">
        <f>IFS(Mapping!G27="I", 1, Mapping!G27="P", 2, Mapping!G27="D", 3, TRUE, "")</f>
        <v/>
      </c>
      <c r="H29" s="49" t="str">
        <f>IFS(Mapping!H27="I", 1, Mapping!H27="P", 2, Mapping!H27="D", 3, TRUE, "")</f>
        <v/>
      </c>
      <c r="I29" s="49" t="str">
        <f>IFS(Mapping!I27="I", 1, Mapping!I27="P", 2, Mapping!I27="D", 3, TRUE, "")</f>
        <v/>
      </c>
      <c r="J29" s="49" t="str">
        <f>IFS(Mapping!J27="I", 1, Mapping!J27="P", 2, Mapping!J27="D", 3, TRUE, "")</f>
        <v/>
      </c>
      <c r="K29" s="49" t="str">
        <f>IFS(Mapping!K27="I", 1, Mapping!K27="P", 2, Mapping!K27="D", 3, TRUE, "")</f>
        <v/>
      </c>
      <c r="L29" s="49" t="str">
        <f>IFS(Mapping!L27="I", 1, Mapping!L27="P", 2, Mapping!L27="D", 3, TRUE, "")</f>
        <v/>
      </c>
      <c r="M29" s="49" t="str">
        <f>IFS(Mapping!M27="I", 1, Mapping!M27="P", 2, Mapping!M27="D", 3, TRUE, "")</f>
        <v/>
      </c>
    </row>
    <row r="30">
      <c r="A30" s="55"/>
      <c r="B30" s="56" t="s">
        <v>65</v>
      </c>
      <c r="C30" s="57" t="str">
        <f>IFS(Mapping!C28="I", 1, Mapping!C28="P", 2, Mapping!C28="D", 3, TRUE, "")</f>
        <v/>
      </c>
      <c r="D30" s="57" t="str">
        <f>IFS(Mapping!D28="I", 1, Mapping!D28="P", 2, Mapping!D28="D", 3, TRUE, "")</f>
        <v/>
      </c>
      <c r="E30" s="57">
        <f>IFS(Mapping!E28="I", 1, Mapping!E28="P", 2, Mapping!E28="D", 3, TRUE, "")</f>
        <v>3</v>
      </c>
      <c r="F30" s="57" t="str">
        <f>IFS(Mapping!F28="I", 1, Mapping!F28="P", 2, Mapping!F28="D", 3, TRUE, "")</f>
        <v/>
      </c>
      <c r="G30" s="57" t="str">
        <f>IFS(Mapping!G28="I", 1, Mapping!G28="P", 2, Mapping!G28="D", 3, TRUE, "")</f>
        <v/>
      </c>
      <c r="H30" s="57" t="str">
        <f>IFS(Mapping!H28="I", 1, Mapping!H28="P", 2, Mapping!H28="D", 3, TRUE, "")</f>
        <v/>
      </c>
      <c r="I30" s="57" t="str">
        <f>IFS(Mapping!I28="I", 1, Mapping!I28="P", 2, Mapping!I28="D", 3, TRUE, "")</f>
        <v/>
      </c>
      <c r="J30" s="57" t="str">
        <f>IFS(Mapping!J28="I", 1, Mapping!J28="P", 2, Mapping!J28="D", 3, TRUE, "")</f>
        <v/>
      </c>
      <c r="K30" s="57" t="str">
        <f>IFS(Mapping!K28="I", 1, Mapping!K28="P", 2, Mapping!K28="D", 3, TRUE, "")</f>
        <v/>
      </c>
      <c r="L30" s="57" t="str">
        <f>IFS(Mapping!L28="I", 1, Mapping!L28="P", 2, Mapping!L28="D", 3, TRUE, "")</f>
        <v/>
      </c>
      <c r="M30" s="57" t="str">
        <f>IFS(Mapping!M28="I", 1, Mapping!M28="P", 2, Mapping!M28="D", 3, TRUE, "")</f>
        <v/>
      </c>
    </row>
    <row r="31">
      <c r="A31" s="37" t="s">
        <v>31</v>
      </c>
      <c r="B31" s="38"/>
      <c r="C31" s="40">
        <f t="shared" ref="C31:M31" si="8">SUM(C32:C34)</f>
        <v>0</v>
      </c>
      <c r="D31" s="40">
        <f t="shared" si="8"/>
        <v>0</v>
      </c>
      <c r="E31" s="40">
        <f t="shared" si="8"/>
        <v>0</v>
      </c>
      <c r="F31" s="40">
        <f t="shared" si="8"/>
        <v>0</v>
      </c>
      <c r="G31" s="40">
        <f t="shared" si="8"/>
        <v>0</v>
      </c>
      <c r="H31" s="40">
        <f t="shared" si="8"/>
        <v>0</v>
      </c>
      <c r="I31" s="40">
        <f t="shared" si="8"/>
        <v>0</v>
      </c>
      <c r="J31" s="40">
        <f t="shared" si="8"/>
        <v>3</v>
      </c>
      <c r="K31" s="40">
        <f t="shared" si="8"/>
        <v>3</v>
      </c>
      <c r="L31" s="40">
        <f t="shared" si="8"/>
        <v>3</v>
      </c>
      <c r="M31" s="40">
        <f t="shared" si="8"/>
        <v>9</v>
      </c>
    </row>
    <row r="32">
      <c r="A32" s="43"/>
      <c r="B32" s="38" t="s">
        <v>55</v>
      </c>
      <c r="C32" s="46" t="str">
        <f>IFS(Mapping!C30="I", 1, Mapping!C30="P", 2, Mapping!C30="D", 3, TRUE, "")</f>
        <v/>
      </c>
      <c r="D32" s="46" t="str">
        <f>IFS(Mapping!D30="I", 1, Mapping!D30="P", 2, Mapping!D30="D", 3, TRUE, "")</f>
        <v/>
      </c>
      <c r="E32" s="46" t="str">
        <f>IFS(Mapping!E30="I", 1, Mapping!E30="P", 2, Mapping!E30="D", 3, TRUE, "")</f>
        <v/>
      </c>
      <c r="F32" s="46" t="str">
        <f>IFS(Mapping!F30="I", 1, Mapping!F30="P", 2, Mapping!F30="D", 3, TRUE, "")</f>
        <v/>
      </c>
      <c r="G32" s="46" t="str">
        <f>IFS(Mapping!G30="I", 1, Mapping!G30="P", 2, Mapping!G30="D", 3, TRUE, "")</f>
        <v/>
      </c>
      <c r="H32" s="46" t="str">
        <f>IFS(Mapping!H30="I", 1, Mapping!H30="P", 2, Mapping!H30="D", 3, TRUE, "")</f>
        <v/>
      </c>
      <c r="I32" s="46" t="str">
        <f>IFS(Mapping!I30="I", 1, Mapping!I30="P", 2, Mapping!I30="D", 3, TRUE, "")</f>
        <v/>
      </c>
      <c r="J32" s="46">
        <f>IFS(Mapping!J30="I", 1, Mapping!J30="P", 2, Mapping!J30="D", 3, TRUE, "")</f>
        <v>3</v>
      </c>
      <c r="K32" s="46" t="str">
        <f>IFS(Mapping!K30="I", 1, Mapping!K30="P", 2, Mapping!K30="D", 3, TRUE, "")</f>
        <v/>
      </c>
      <c r="L32" s="46" t="str">
        <f>IFS(Mapping!L30="I", 1, Mapping!L30="P", 2, Mapping!L30="D", 3, TRUE, "")</f>
        <v/>
      </c>
      <c r="M32" s="46">
        <f>IFS(Mapping!M30="I", 1, Mapping!M30="P", 2, Mapping!M30="D", 3, TRUE, "")</f>
        <v>3</v>
      </c>
    </row>
    <row r="33">
      <c r="A33" s="43"/>
      <c r="B33" s="19" t="s">
        <v>61</v>
      </c>
      <c r="C33" s="49" t="str">
        <f>IFS(Mapping!C31="I", 1, Mapping!C31="P", 2, Mapping!C31="D", 3, TRUE, "")</f>
        <v/>
      </c>
      <c r="D33" s="49" t="str">
        <f>IFS(Mapping!D31="I", 1, Mapping!D31="P", 2, Mapping!D31="D", 3, TRUE, "")</f>
        <v/>
      </c>
      <c r="E33" s="49" t="str">
        <f>IFS(Mapping!E31="I", 1, Mapping!E31="P", 2, Mapping!E31="D", 3, TRUE, "")</f>
        <v/>
      </c>
      <c r="F33" s="49" t="str">
        <f>IFS(Mapping!F31="I", 1, Mapping!F31="P", 2, Mapping!F31="D", 3, TRUE, "")</f>
        <v/>
      </c>
      <c r="G33" s="49" t="str">
        <f>IFS(Mapping!G31="I", 1, Mapping!G31="P", 2, Mapping!G31="D", 3, TRUE, "")</f>
        <v/>
      </c>
      <c r="H33" s="49" t="str">
        <f>IFS(Mapping!H31="I", 1, Mapping!H31="P", 2, Mapping!H31="D", 3, TRUE, "")</f>
        <v/>
      </c>
      <c r="I33" s="49" t="str">
        <f>IFS(Mapping!I31="I", 1, Mapping!I31="P", 2, Mapping!I31="D", 3, TRUE, "")</f>
        <v/>
      </c>
      <c r="J33" s="49" t="str">
        <f>IFS(Mapping!J31="I", 1, Mapping!J31="P", 2, Mapping!J31="D", 3, TRUE, "")</f>
        <v/>
      </c>
      <c r="K33" s="49">
        <f>IFS(Mapping!K31="I", 1, Mapping!K31="P", 2, Mapping!K31="D", 3, TRUE, "")</f>
        <v>3</v>
      </c>
      <c r="L33" s="49" t="str">
        <f>IFS(Mapping!L31="I", 1, Mapping!L31="P", 2, Mapping!L31="D", 3, TRUE, "")</f>
        <v/>
      </c>
      <c r="M33" s="49">
        <f>IFS(Mapping!M31="I", 1, Mapping!M31="P", 2, Mapping!M31="D", 3, TRUE, "")</f>
        <v>3</v>
      </c>
    </row>
    <row r="34">
      <c r="A34" s="55"/>
      <c r="B34" s="56" t="s">
        <v>65</v>
      </c>
      <c r="C34" s="57" t="str">
        <f>IFS(Mapping!C32="I", 1, Mapping!C32="P", 2, Mapping!C32="D", 3, TRUE, "")</f>
        <v/>
      </c>
      <c r="D34" s="57" t="str">
        <f>IFS(Mapping!D32="I", 1, Mapping!D32="P", 2, Mapping!D32="D", 3, TRUE, "")</f>
        <v/>
      </c>
      <c r="E34" s="57" t="str">
        <f>IFS(Mapping!E32="I", 1, Mapping!E32="P", 2, Mapping!E32="D", 3, TRUE, "")</f>
        <v/>
      </c>
      <c r="F34" s="57" t="str">
        <f>IFS(Mapping!F32="I", 1, Mapping!F32="P", 2, Mapping!F32="D", 3, TRUE, "")</f>
        <v/>
      </c>
      <c r="G34" s="57" t="str">
        <f>IFS(Mapping!G32="I", 1, Mapping!G32="P", 2, Mapping!G32="D", 3, TRUE, "")</f>
        <v/>
      </c>
      <c r="H34" s="57" t="str">
        <f>IFS(Mapping!H32="I", 1, Mapping!H32="P", 2, Mapping!H32="D", 3, TRUE, "")</f>
        <v/>
      </c>
      <c r="I34" s="57" t="str">
        <f>IFS(Mapping!I32="I", 1, Mapping!I32="P", 2, Mapping!I32="D", 3, TRUE, "")</f>
        <v/>
      </c>
      <c r="J34" s="57" t="str">
        <f>IFS(Mapping!J32="I", 1, Mapping!J32="P", 2, Mapping!J32="D", 3, TRUE, "")</f>
        <v/>
      </c>
      <c r="K34" s="57" t="str">
        <f>IFS(Mapping!K32="I", 1, Mapping!K32="P", 2, Mapping!K32="D", 3, TRUE, "")</f>
        <v/>
      </c>
      <c r="L34" s="57">
        <f>IFS(Mapping!L32="I", 1, Mapping!L32="P", 2, Mapping!L32="D", 3, TRUE, "")</f>
        <v>3</v>
      </c>
      <c r="M34" s="57">
        <f>IFS(Mapping!M32="I", 1, Mapping!M32="P", 2, Mapping!M32="D", 3, TRUE, "")</f>
        <v>3</v>
      </c>
    </row>
    <row r="35">
      <c r="A35" s="37" t="s">
        <v>33</v>
      </c>
      <c r="B35" s="38"/>
      <c r="C35" s="40">
        <f t="shared" ref="C35:M35" si="9">SUM(C36:C38)</f>
        <v>0</v>
      </c>
      <c r="D35" s="40">
        <f t="shared" si="9"/>
        <v>0</v>
      </c>
      <c r="E35" s="40">
        <f t="shared" si="9"/>
        <v>0</v>
      </c>
      <c r="F35" s="40">
        <f t="shared" si="9"/>
        <v>1</v>
      </c>
      <c r="G35" s="40">
        <f t="shared" si="9"/>
        <v>2</v>
      </c>
      <c r="H35" s="40">
        <f t="shared" si="9"/>
        <v>2</v>
      </c>
      <c r="I35" s="40">
        <f t="shared" si="9"/>
        <v>0</v>
      </c>
      <c r="J35" s="40">
        <f t="shared" si="9"/>
        <v>0</v>
      </c>
      <c r="K35" s="40">
        <f t="shared" si="9"/>
        <v>0</v>
      </c>
      <c r="L35" s="40">
        <f t="shared" si="9"/>
        <v>0</v>
      </c>
      <c r="M35" s="40">
        <f t="shared" si="9"/>
        <v>0</v>
      </c>
    </row>
    <row r="36">
      <c r="A36" s="43"/>
      <c r="B36" s="38" t="s">
        <v>55</v>
      </c>
      <c r="C36" s="46" t="str">
        <f>IFS(Mapping!C34="I", 1, Mapping!C34="P", 2, Mapping!C34="D", 3, TRUE, "")</f>
        <v/>
      </c>
      <c r="D36" s="46" t="str">
        <f>IFS(Mapping!D34="I", 1, Mapping!D34="P", 2, Mapping!D34="D", 3, TRUE, "")</f>
        <v/>
      </c>
      <c r="E36" s="46" t="str">
        <f>IFS(Mapping!E34="I", 1, Mapping!E34="P", 2, Mapping!E34="D", 3, TRUE, "")</f>
        <v/>
      </c>
      <c r="F36" s="46">
        <f>IFS(Mapping!F34="I", 1, Mapping!F34="P", 2, Mapping!F34="D", 3, TRUE, "")</f>
        <v>1</v>
      </c>
      <c r="G36" s="46" t="str">
        <f>IFS(Mapping!G34="I", 1, Mapping!G34="P", 2, Mapping!G34="D", 3, TRUE, "")</f>
        <v/>
      </c>
      <c r="H36" s="46" t="str">
        <f>IFS(Mapping!H34="I", 1, Mapping!H34="P", 2, Mapping!H34="D", 3, TRUE, "")</f>
        <v/>
      </c>
      <c r="I36" s="46" t="str">
        <f>IFS(Mapping!I34="I", 1, Mapping!I34="P", 2, Mapping!I34="D", 3, TRUE, "")</f>
        <v/>
      </c>
      <c r="J36" s="46" t="str">
        <f>IFS(Mapping!J34="I", 1, Mapping!J34="P", 2, Mapping!J34="D", 3, TRUE, "")</f>
        <v/>
      </c>
      <c r="K36" s="46" t="str">
        <f>IFS(Mapping!K34="I", 1, Mapping!K34="P", 2, Mapping!K34="D", 3, TRUE, "")</f>
        <v/>
      </c>
      <c r="L36" s="46" t="str">
        <f>IFS(Mapping!L34="I", 1, Mapping!L34="P", 2, Mapping!L34="D", 3, TRUE, "")</f>
        <v/>
      </c>
      <c r="M36" s="46" t="str">
        <f>IFS(Mapping!M34="I", 1, Mapping!M34="P", 2, Mapping!M34="D", 3, TRUE, "")</f>
        <v/>
      </c>
    </row>
    <row r="37">
      <c r="A37" s="43"/>
      <c r="B37" s="19" t="s">
        <v>61</v>
      </c>
      <c r="C37" s="49" t="str">
        <f>IFS(Mapping!C35="I", 1, Mapping!C35="P", 2, Mapping!C35="D", 3, TRUE, "")</f>
        <v/>
      </c>
      <c r="D37" s="49" t="str">
        <f>IFS(Mapping!D35="I", 1, Mapping!D35="P", 2, Mapping!D35="D", 3, TRUE, "")</f>
        <v/>
      </c>
      <c r="E37" s="49" t="str">
        <f>IFS(Mapping!E35="I", 1, Mapping!E35="P", 2, Mapping!E35="D", 3, TRUE, "")</f>
        <v/>
      </c>
      <c r="F37" s="49" t="str">
        <f>IFS(Mapping!F35="I", 1, Mapping!F35="P", 2, Mapping!F35="D", 3, TRUE, "")</f>
        <v/>
      </c>
      <c r="G37" s="49">
        <f>IFS(Mapping!G35="I", 1, Mapping!G35="P", 2, Mapping!G35="D", 3, TRUE, "")</f>
        <v>2</v>
      </c>
      <c r="H37" s="49" t="str">
        <f>IFS(Mapping!H35="I", 1, Mapping!H35="P", 2, Mapping!H35="D", 3, TRUE, "")</f>
        <v/>
      </c>
      <c r="I37" s="49" t="str">
        <f>IFS(Mapping!I35="I", 1, Mapping!I35="P", 2, Mapping!I35="D", 3, TRUE, "")</f>
        <v/>
      </c>
      <c r="J37" s="49" t="str">
        <f>IFS(Mapping!J35="I", 1, Mapping!J35="P", 2, Mapping!J35="D", 3, TRUE, "")</f>
        <v/>
      </c>
      <c r="K37" s="49" t="str">
        <f>IFS(Mapping!K35="I", 1, Mapping!K35="P", 2, Mapping!K35="D", 3, TRUE, "")</f>
        <v/>
      </c>
      <c r="L37" s="49" t="str">
        <f>IFS(Mapping!L35="I", 1, Mapping!L35="P", 2, Mapping!L35="D", 3, TRUE, "")</f>
        <v/>
      </c>
      <c r="M37" s="49" t="str">
        <f>IFS(Mapping!M35="I", 1, Mapping!M35="P", 2, Mapping!M35="D", 3, TRUE, "")</f>
        <v/>
      </c>
    </row>
    <row r="38">
      <c r="A38" s="55"/>
      <c r="B38" s="56" t="s">
        <v>65</v>
      </c>
      <c r="C38" s="57" t="str">
        <f>IFS(Mapping!C36="I", 1, Mapping!C36="P", 2, Mapping!C36="D", 3, TRUE, "")</f>
        <v/>
      </c>
      <c r="D38" s="57" t="str">
        <f>IFS(Mapping!D36="I", 1, Mapping!D36="P", 2, Mapping!D36="D", 3, TRUE, "")</f>
        <v/>
      </c>
      <c r="E38" s="57" t="str">
        <f>IFS(Mapping!E36="I", 1, Mapping!E36="P", 2, Mapping!E36="D", 3, TRUE, "")</f>
        <v/>
      </c>
      <c r="F38" s="57" t="str">
        <f>IFS(Mapping!F36="I", 1, Mapping!F36="P", 2, Mapping!F36="D", 3, TRUE, "")</f>
        <v/>
      </c>
      <c r="G38" s="57" t="str">
        <f>IFS(Mapping!G36="I", 1, Mapping!G36="P", 2, Mapping!G36="D", 3, TRUE, "")</f>
        <v/>
      </c>
      <c r="H38" s="57">
        <f>IFS(Mapping!H36="I", 1, Mapping!H36="P", 2, Mapping!H36="D", 3, TRUE, "")</f>
        <v>2</v>
      </c>
      <c r="I38" s="57" t="str">
        <f>IFS(Mapping!I36="I", 1, Mapping!I36="P", 2, Mapping!I36="D", 3, TRUE, "")</f>
        <v/>
      </c>
      <c r="J38" s="57" t="str">
        <f>IFS(Mapping!J36="I", 1, Mapping!J36="P", 2, Mapping!J36="D", 3, TRUE, "")</f>
        <v/>
      </c>
      <c r="K38" s="57" t="str">
        <f>IFS(Mapping!K36="I", 1, Mapping!K36="P", 2, Mapping!K36="D", 3, TRUE, "")</f>
        <v/>
      </c>
      <c r="L38" s="57" t="str">
        <f>IFS(Mapping!L36="I", 1, Mapping!L36="P", 2, Mapping!L36="D", 3, TRUE, "")</f>
        <v/>
      </c>
      <c r="M38" s="57" t="str">
        <f>IFS(Mapping!M36="I", 1, Mapping!M36="P", 2, Mapping!M36="D", 3, TRUE, "")</f>
        <v/>
      </c>
    </row>
    <row r="39">
      <c r="A39" s="37" t="s">
        <v>34</v>
      </c>
      <c r="B39" s="38"/>
      <c r="C39" s="40">
        <f t="shared" ref="C39:M39" si="10">SUM(C40:C42)</f>
        <v>0</v>
      </c>
      <c r="D39" s="40">
        <f t="shared" si="10"/>
        <v>0</v>
      </c>
      <c r="E39" s="40">
        <f t="shared" si="10"/>
        <v>0</v>
      </c>
      <c r="F39" s="40">
        <f t="shared" si="10"/>
        <v>1</v>
      </c>
      <c r="G39" s="40">
        <f t="shared" si="10"/>
        <v>2</v>
      </c>
      <c r="H39" s="40">
        <f t="shared" si="10"/>
        <v>2</v>
      </c>
      <c r="I39" s="40">
        <f t="shared" si="10"/>
        <v>0</v>
      </c>
      <c r="J39" s="40">
        <f t="shared" si="10"/>
        <v>0</v>
      </c>
      <c r="K39" s="40">
        <f t="shared" si="10"/>
        <v>0</v>
      </c>
      <c r="L39" s="40">
        <f t="shared" si="10"/>
        <v>1</v>
      </c>
      <c r="M39" s="40">
        <f t="shared" si="10"/>
        <v>1</v>
      </c>
    </row>
    <row r="40">
      <c r="A40" s="43"/>
      <c r="B40" s="38" t="s">
        <v>55</v>
      </c>
      <c r="C40" s="46" t="str">
        <f>IFS(Mapping!C38="I", 1, Mapping!C38="P", 2, Mapping!C38="D", 3, TRUE, "")</f>
        <v/>
      </c>
      <c r="D40" s="46" t="str">
        <f>IFS(Mapping!D38="I", 1, Mapping!D38="P", 2, Mapping!D38="D", 3, TRUE, "")</f>
        <v/>
      </c>
      <c r="E40" s="46" t="str">
        <f>IFS(Mapping!E38="I", 1, Mapping!E38="P", 2, Mapping!E38="D", 3, TRUE, "")</f>
        <v/>
      </c>
      <c r="F40" s="46">
        <f>IFS(Mapping!F38="I", 1, Mapping!F38="P", 2, Mapping!F38="D", 3, TRUE, "")</f>
        <v>1</v>
      </c>
      <c r="G40" s="46" t="str">
        <f>IFS(Mapping!G38="I", 1, Mapping!G38="P", 2, Mapping!G38="D", 3, TRUE, "")</f>
        <v/>
      </c>
      <c r="H40" s="46" t="str">
        <f>IFS(Mapping!H38="I", 1, Mapping!H38="P", 2, Mapping!H38="D", 3, TRUE, "")</f>
        <v/>
      </c>
      <c r="I40" s="46" t="str">
        <f>IFS(Mapping!I38="I", 1, Mapping!I38="P", 2, Mapping!I38="D", 3, TRUE, "")</f>
        <v/>
      </c>
      <c r="J40" s="46" t="str">
        <f>IFS(Mapping!J38="I", 1, Mapping!J38="P", 2, Mapping!J38="D", 3, TRUE, "")</f>
        <v/>
      </c>
      <c r="K40" s="46" t="str">
        <f>IFS(Mapping!K38="I", 1, Mapping!K38="P", 2, Mapping!K38="D", 3, TRUE, "")</f>
        <v/>
      </c>
      <c r="L40" s="46">
        <f>IFS(Mapping!L38="I", 1, Mapping!L38="P", 2, Mapping!L38="D", 3, TRUE, "")</f>
        <v>1</v>
      </c>
      <c r="M40" s="46" t="str">
        <f>IFS(Mapping!M38="I", 1, Mapping!M38="P", 2, Mapping!M38="D", 3, TRUE, "")</f>
        <v/>
      </c>
    </row>
    <row r="41">
      <c r="A41" s="43"/>
      <c r="B41" s="19" t="s">
        <v>61</v>
      </c>
      <c r="C41" s="49" t="str">
        <f>IFS(Mapping!C39="I", 1, Mapping!C39="P", 2, Mapping!C39="D", 3, TRUE, "")</f>
        <v/>
      </c>
      <c r="D41" s="49" t="str">
        <f>IFS(Mapping!D39="I", 1, Mapping!D39="P", 2, Mapping!D39="D", 3, TRUE, "")</f>
        <v/>
      </c>
      <c r="E41" s="49" t="str">
        <f>IFS(Mapping!E39="I", 1, Mapping!E39="P", 2, Mapping!E39="D", 3, TRUE, "")</f>
        <v/>
      </c>
      <c r="F41" s="49" t="str">
        <f>IFS(Mapping!F39="I", 1, Mapping!F39="P", 2, Mapping!F39="D", 3, TRUE, "")</f>
        <v/>
      </c>
      <c r="G41" s="49">
        <f>IFS(Mapping!G39="I", 1, Mapping!G39="P", 2, Mapping!G39="D", 3, TRUE, "")</f>
        <v>2</v>
      </c>
      <c r="H41" s="49" t="str">
        <f>IFS(Mapping!H39="I", 1, Mapping!H39="P", 2, Mapping!H39="D", 3, TRUE, "")</f>
        <v/>
      </c>
      <c r="I41" s="49" t="str">
        <f>IFS(Mapping!I39="I", 1, Mapping!I39="P", 2, Mapping!I39="D", 3, TRUE, "")</f>
        <v/>
      </c>
      <c r="J41" s="49" t="str">
        <f>IFS(Mapping!J39="I", 1, Mapping!J39="P", 2, Mapping!J39="D", 3, TRUE, "")</f>
        <v/>
      </c>
      <c r="K41" s="49" t="str">
        <f>IFS(Mapping!K39="I", 1, Mapping!K39="P", 2, Mapping!K39="D", 3, TRUE, "")</f>
        <v/>
      </c>
      <c r="L41" s="49" t="str">
        <f>IFS(Mapping!L39="I", 1, Mapping!L39="P", 2, Mapping!L39="D", 3, TRUE, "")</f>
        <v/>
      </c>
      <c r="M41" s="49">
        <f>IFS(Mapping!M39="I", 1, Mapping!M39="P", 2, Mapping!M39="D", 3, TRUE, "")</f>
        <v>1</v>
      </c>
    </row>
    <row r="42">
      <c r="A42" s="55"/>
      <c r="B42" s="56" t="s">
        <v>65</v>
      </c>
      <c r="C42" s="57" t="str">
        <f>IFS(Mapping!C40="I", 1, Mapping!C40="P", 2, Mapping!C40="D", 3, TRUE, "")</f>
        <v/>
      </c>
      <c r="D42" s="57" t="str">
        <f>IFS(Mapping!D40="I", 1, Mapping!D40="P", 2, Mapping!D40="D", 3, TRUE, "")</f>
        <v/>
      </c>
      <c r="E42" s="57" t="str">
        <f>IFS(Mapping!E40="I", 1, Mapping!E40="P", 2, Mapping!E40="D", 3, TRUE, "")</f>
        <v/>
      </c>
      <c r="F42" s="57" t="str">
        <f>IFS(Mapping!F40="I", 1, Mapping!F40="P", 2, Mapping!F40="D", 3, TRUE, "")</f>
        <v/>
      </c>
      <c r="G42" s="57" t="str">
        <f>IFS(Mapping!G40="I", 1, Mapping!G40="P", 2, Mapping!G40="D", 3, TRUE, "")</f>
        <v/>
      </c>
      <c r="H42" s="57">
        <f>IFS(Mapping!H40="I", 1, Mapping!H40="P", 2, Mapping!H40="D", 3, TRUE, "")</f>
        <v>2</v>
      </c>
      <c r="I42" s="57" t="str">
        <f>IFS(Mapping!I40="I", 1, Mapping!I40="P", 2, Mapping!I40="D", 3, TRUE, "")</f>
        <v/>
      </c>
      <c r="J42" s="57" t="str">
        <f>IFS(Mapping!J40="I", 1, Mapping!J40="P", 2, Mapping!J40="D", 3, TRUE, "")</f>
        <v/>
      </c>
      <c r="K42" s="57" t="str">
        <f>IFS(Mapping!K40="I", 1, Mapping!K40="P", 2, Mapping!K40="D", 3, TRUE, "")</f>
        <v/>
      </c>
      <c r="L42" s="57" t="str">
        <f>IFS(Mapping!L40="I", 1, Mapping!L40="P", 2, Mapping!L40="D", 3, TRUE, "")</f>
        <v/>
      </c>
      <c r="M42" s="57" t="str">
        <f>IFS(Mapping!M40="I", 1, Mapping!M40="P", 2, Mapping!M40="D", 3, TRUE, "")</f>
        <v/>
      </c>
    </row>
    <row r="43">
      <c r="A43" s="37" t="s">
        <v>35</v>
      </c>
      <c r="B43" s="38"/>
      <c r="C43" s="40">
        <f t="shared" ref="C43:M43" si="11">SUM(C44:C46)</f>
        <v>1</v>
      </c>
      <c r="D43" s="40">
        <f t="shared" si="11"/>
        <v>1</v>
      </c>
      <c r="E43" s="40">
        <f t="shared" si="11"/>
        <v>2</v>
      </c>
      <c r="F43" s="40">
        <f t="shared" si="11"/>
        <v>1</v>
      </c>
      <c r="G43" s="40">
        <f t="shared" si="11"/>
        <v>1</v>
      </c>
      <c r="H43" s="40">
        <f t="shared" si="11"/>
        <v>2</v>
      </c>
      <c r="I43" s="40">
        <f t="shared" si="11"/>
        <v>0</v>
      </c>
      <c r="J43" s="40">
        <f t="shared" si="11"/>
        <v>0</v>
      </c>
      <c r="K43" s="40">
        <f t="shared" si="11"/>
        <v>0</v>
      </c>
      <c r="L43" s="40">
        <f t="shared" si="11"/>
        <v>0</v>
      </c>
      <c r="M43" s="40">
        <f t="shared" si="11"/>
        <v>0</v>
      </c>
    </row>
    <row r="44">
      <c r="A44" s="43"/>
      <c r="B44" s="38" t="s">
        <v>55</v>
      </c>
      <c r="C44" s="46">
        <f>IFS(Mapping!C42="I", 1, Mapping!C42="P", 2, Mapping!C42="D", 3, TRUE, "")</f>
        <v>1</v>
      </c>
      <c r="D44" s="46" t="str">
        <f>IFS(Mapping!D42="I", 1, Mapping!D42="P", 2, Mapping!D42="D", 3, TRUE, "")</f>
        <v/>
      </c>
      <c r="E44" s="46" t="str">
        <f>IFS(Mapping!E42="I", 1, Mapping!E42="P", 2, Mapping!E42="D", 3, TRUE, "")</f>
        <v/>
      </c>
      <c r="F44" s="46">
        <f>IFS(Mapping!F42="I", 1, Mapping!F42="P", 2, Mapping!F42="D", 3, TRUE, "")</f>
        <v>1</v>
      </c>
      <c r="G44" s="46" t="str">
        <f>IFS(Mapping!G42="I", 1, Mapping!G42="P", 2, Mapping!G42="D", 3, TRUE, "")</f>
        <v/>
      </c>
      <c r="H44" s="46" t="str">
        <f>IFS(Mapping!H42="I", 1, Mapping!H42="P", 2, Mapping!H42="D", 3, TRUE, "")</f>
        <v/>
      </c>
      <c r="I44" s="46" t="str">
        <f>IFS(Mapping!I42="I", 1, Mapping!I42="P", 2, Mapping!I42="D", 3, TRUE, "")</f>
        <v/>
      </c>
      <c r="J44" s="46" t="str">
        <f>IFS(Mapping!J42="I", 1, Mapping!J42="P", 2, Mapping!J42="D", 3, TRUE, "")</f>
        <v/>
      </c>
      <c r="K44" s="46" t="str">
        <f>IFS(Mapping!K42="I", 1, Mapping!K42="P", 2, Mapping!K42="D", 3, TRUE, "")</f>
        <v/>
      </c>
      <c r="L44" s="46" t="str">
        <f>IFS(Mapping!L42="I", 1, Mapping!L42="P", 2, Mapping!L42="D", 3, TRUE, "")</f>
        <v/>
      </c>
      <c r="M44" s="46" t="str">
        <f>IFS(Mapping!M42="I", 1, Mapping!M42="P", 2, Mapping!M42="D", 3, TRUE, "")</f>
        <v/>
      </c>
    </row>
    <row r="45">
      <c r="A45" s="43"/>
      <c r="B45" s="19" t="s">
        <v>61</v>
      </c>
      <c r="C45" s="49" t="str">
        <f>IFS(Mapping!C43="I", 1, Mapping!C43="P", 2, Mapping!C43="D", 3, TRUE, "")</f>
        <v/>
      </c>
      <c r="D45" s="49">
        <f>IFS(Mapping!D43="I", 1, Mapping!D43="P", 2, Mapping!D43="D", 3, TRUE, "")</f>
        <v>1</v>
      </c>
      <c r="E45" s="49" t="str">
        <f>IFS(Mapping!E43="I", 1, Mapping!E43="P", 2, Mapping!E43="D", 3, TRUE, "")</f>
        <v/>
      </c>
      <c r="F45" s="49" t="str">
        <f>IFS(Mapping!F43="I", 1, Mapping!F43="P", 2, Mapping!F43="D", 3, TRUE, "")</f>
        <v/>
      </c>
      <c r="G45" s="49">
        <f>IFS(Mapping!G43="I", 1, Mapping!G43="P", 2, Mapping!G43="D", 3, TRUE, "")</f>
        <v>1</v>
      </c>
      <c r="H45" s="49" t="str">
        <f>IFS(Mapping!H43="I", 1, Mapping!H43="P", 2, Mapping!H43="D", 3, TRUE, "")</f>
        <v/>
      </c>
      <c r="I45" s="49" t="str">
        <f>IFS(Mapping!I43="I", 1, Mapping!I43="P", 2, Mapping!I43="D", 3, TRUE, "")</f>
        <v/>
      </c>
      <c r="J45" s="49" t="str">
        <f>IFS(Mapping!J43="I", 1, Mapping!J43="P", 2, Mapping!J43="D", 3, TRUE, "")</f>
        <v/>
      </c>
      <c r="K45" s="49" t="str">
        <f>IFS(Mapping!K43="I", 1, Mapping!K43="P", 2, Mapping!K43="D", 3, TRUE, "")</f>
        <v/>
      </c>
      <c r="L45" s="49" t="str">
        <f>IFS(Mapping!L43="I", 1, Mapping!L43="P", 2, Mapping!L43="D", 3, TRUE, "")</f>
        <v/>
      </c>
      <c r="M45" s="49" t="str">
        <f>IFS(Mapping!M43="I", 1, Mapping!M43="P", 2, Mapping!M43="D", 3, TRUE, "")</f>
        <v/>
      </c>
    </row>
    <row r="46">
      <c r="A46" s="55"/>
      <c r="B46" s="56" t="s">
        <v>65</v>
      </c>
      <c r="C46" s="57" t="str">
        <f>IFS(Mapping!C44="I", 1, Mapping!C44="P", 2, Mapping!C44="D", 3, TRUE, "")</f>
        <v/>
      </c>
      <c r="D46" s="57" t="str">
        <f>IFS(Mapping!D44="I", 1, Mapping!D44="P", 2, Mapping!D44="D", 3, TRUE, "")</f>
        <v/>
      </c>
      <c r="E46" s="57">
        <f>IFS(Mapping!E44="I", 1, Mapping!E44="P", 2, Mapping!E44="D", 3, TRUE, "")</f>
        <v>2</v>
      </c>
      <c r="F46" s="57" t="str">
        <f>IFS(Mapping!F44="I", 1, Mapping!F44="P", 2, Mapping!F44="D", 3, TRUE, "")</f>
        <v/>
      </c>
      <c r="G46" s="57" t="str">
        <f>IFS(Mapping!G44="I", 1, Mapping!G44="P", 2, Mapping!G44="D", 3, TRUE, "")</f>
        <v/>
      </c>
      <c r="H46" s="57">
        <f>IFS(Mapping!H44="I", 1, Mapping!H44="P", 2, Mapping!H44="D", 3, TRUE, "")</f>
        <v>2</v>
      </c>
      <c r="I46" s="57" t="str">
        <f>IFS(Mapping!I44="I", 1, Mapping!I44="P", 2, Mapping!I44="D", 3, TRUE, "")</f>
        <v/>
      </c>
      <c r="J46" s="57" t="str">
        <f>IFS(Mapping!J44="I", 1, Mapping!J44="P", 2, Mapping!J44="D", 3, TRUE, "")</f>
        <v/>
      </c>
      <c r="K46" s="57" t="str">
        <f>IFS(Mapping!K44="I", 1, Mapping!K44="P", 2, Mapping!K44="D", 3, TRUE, "")</f>
        <v/>
      </c>
      <c r="L46" s="57" t="str">
        <f>IFS(Mapping!L44="I", 1, Mapping!L44="P", 2, Mapping!L44="D", 3, TRUE, "")</f>
        <v/>
      </c>
      <c r="M46" s="57" t="str">
        <f>IFS(Mapping!M44="I", 1, Mapping!M44="P", 2, Mapping!M44="D", 3, TRUE, "")</f>
        <v/>
      </c>
    </row>
    <row r="47">
      <c r="A47" s="37" t="s">
        <v>37</v>
      </c>
      <c r="B47" s="38"/>
      <c r="C47" s="40">
        <f t="shared" ref="C47:M47" si="12">SUM(C48:C50)</f>
        <v>1</v>
      </c>
      <c r="D47" s="40">
        <f t="shared" si="12"/>
        <v>1</v>
      </c>
      <c r="E47" s="40">
        <f t="shared" si="12"/>
        <v>2</v>
      </c>
      <c r="F47" s="40">
        <f t="shared" si="12"/>
        <v>0</v>
      </c>
      <c r="G47" s="40">
        <f t="shared" si="12"/>
        <v>0</v>
      </c>
      <c r="H47" s="40">
        <f t="shared" si="12"/>
        <v>0</v>
      </c>
      <c r="I47" s="40">
        <f t="shared" si="12"/>
        <v>0</v>
      </c>
      <c r="J47" s="40">
        <f t="shared" si="12"/>
        <v>0</v>
      </c>
      <c r="K47" s="40">
        <f t="shared" si="12"/>
        <v>0</v>
      </c>
      <c r="L47" s="40">
        <f t="shared" si="12"/>
        <v>0</v>
      </c>
      <c r="M47" s="40">
        <f t="shared" si="12"/>
        <v>0</v>
      </c>
    </row>
    <row r="48">
      <c r="A48" s="43"/>
      <c r="B48" s="38" t="s">
        <v>55</v>
      </c>
      <c r="C48" s="46">
        <f>IFS(Mapping!C46="I", 1, Mapping!C46="P", 2, Mapping!C46="D", 3, TRUE, "")</f>
        <v>1</v>
      </c>
      <c r="D48" s="46" t="str">
        <f>IFS(Mapping!D46="I", 1, Mapping!D46="P", 2, Mapping!D46="D", 3, TRUE, "")</f>
        <v/>
      </c>
      <c r="E48" s="46" t="str">
        <f>IFS(Mapping!E46="I", 1, Mapping!E46="P", 2, Mapping!E46="D", 3, TRUE, "")</f>
        <v/>
      </c>
      <c r="F48" s="46" t="str">
        <f>IFS(Mapping!F46="I", 1, Mapping!F46="P", 2, Mapping!F46="D", 3, TRUE, "")</f>
        <v/>
      </c>
      <c r="G48" s="46" t="str">
        <f>IFS(Mapping!G46="I", 1, Mapping!G46="P", 2, Mapping!G46="D", 3, TRUE, "")</f>
        <v/>
      </c>
      <c r="H48" s="46" t="str">
        <f>IFS(Mapping!H46="I", 1, Mapping!H46="P", 2, Mapping!H46="D", 3, TRUE, "")</f>
        <v/>
      </c>
      <c r="I48" s="46" t="str">
        <f>IFS(Mapping!I46="I", 1, Mapping!I46="P", 2, Mapping!I46="D", 3, TRUE, "")</f>
        <v/>
      </c>
      <c r="J48" s="46" t="str">
        <f>IFS(Mapping!J46="I", 1, Mapping!J46="P", 2, Mapping!J46="D", 3, TRUE, "")</f>
        <v/>
      </c>
      <c r="K48" s="46" t="str">
        <f>IFS(Mapping!K46="I", 1, Mapping!K46="P", 2, Mapping!K46="D", 3, TRUE, "")</f>
        <v/>
      </c>
      <c r="L48" s="46" t="str">
        <f>IFS(Mapping!L46="I", 1, Mapping!L46="P", 2, Mapping!L46="D", 3, TRUE, "")</f>
        <v/>
      </c>
      <c r="M48" s="46" t="str">
        <f>IFS(Mapping!M46="I", 1, Mapping!M46="P", 2, Mapping!M46="D", 3, TRUE, "")</f>
        <v/>
      </c>
    </row>
    <row r="49">
      <c r="A49" s="43"/>
      <c r="B49" s="19" t="s">
        <v>61</v>
      </c>
      <c r="C49" s="49" t="str">
        <f>IFS(Mapping!C47="I", 1, Mapping!C47="P", 2, Mapping!C47="D", 3, TRUE, "")</f>
        <v/>
      </c>
      <c r="D49" s="49">
        <f>IFS(Mapping!D47="I", 1, Mapping!D47="P", 2, Mapping!D47="D", 3, TRUE, "")</f>
        <v>1</v>
      </c>
      <c r="E49" s="49" t="str">
        <f>IFS(Mapping!E47="I", 1, Mapping!E47="P", 2, Mapping!E47="D", 3, TRUE, "")</f>
        <v/>
      </c>
      <c r="F49" s="49" t="str">
        <f>IFS(Mapping!F47="I", 1, Mapping!F47="P", 2, Mapping!F47="D", 3, TRUE, "")</f>
        <v/>
      </c>
      <c r="G49" s="49" t="str">
        <f>IFS(Mapping!G47="I", 1, Mapping!G47="P", 2, Mapping!G47="D", 3, TRUE, "")</f>
        <v/>
      </c>
      <c r="H49" s="49" t="str">
        <f>IFS(Mapping!H47="I", 1, Mapping!H47="P", 2, Mapping!H47="D", 3, TRUE, "")</f>
        <v/>
      </c>
      <c r="I49" s="49" t="str">
        <f>IFS(Mapping!I47="I", 1, Mapping!I47="P", 2, Mapping!I47="D", 3, TRUE, "")</f>
        <v/>
      </c>
      <c r="J49" s="49" t="str">
        <f>IFS(Mapping!J47="I", 1, Mapping!J47="P", 2, Mapping!J47="D", 3, TRUE, "")</f>
        <v/>
      </c>
      <c r="K49" s="49" t="str">
        <f>IFS(Mapping!K47="I", 1, Mapping!K47="P", 2, Mapping!K47="D", 3, TRUE, "")</f>
        <v/>
      </c>
      <c r="L49" s="49" t="str">
        <f>IFS(Mapping!L47="I", 1, Mapping!L47="P", 2, Mapping!L47="D", 3, TRUE, "")</f>
        <v/>
      </c>
      <c r="M49" s="49" t="str">
        <f>IFS(Mapping!M47="I", 1, Mapping!M47="P", 2, Mapping!M47="D", 3, TRUE, "")</f>
        <v/>
      </c>
    </row>
    <row r="50">
      <c r="A50" s="55"/>
      <c r="B50" s="56" t="s">
        <v>65</v>
      </c>
      <c r="C50" s="57" t="str">
        <f>IFS(Mapping!C48="I", 1, Mapping!C48="P", 2, Mapping!C48="D", 3, TRUE, "")</f>
        <v/>
      </c>
      <c r="D50" s="57" t="str">
        <f>IFS(Mapping!D48="I", 1, Mapping!D48="P", 2, Mapping!D48="D", 3, TRUE, "")</f>
        <v/>
      </c>
      <c r="E50" s="57">
        <f>IFS(Mapping!E48="I", 1, Mapping!E48="P", 2, Mapping!E48="D", 3, TRUE, "")</f>
        <v>2</v>
      </c>
      <c r="F50" s="57" t="str">
        <f>IFS(Mapping!F48="I", 1, Mapping!F48="P", 2, Mapping!F48="D", 3, TRUE, "")</f>
        <v/>
      </c>
      <c r="G50" s="57" t="str">
        <f>IFS(Mapping!G48="I", 1, Mapping!G48="P", 2, Mapping!G48="D", 3, TRUE, "")</f>
        <v/>
      </c>
      <c r="H50" s="57" t="str">
        <f>IFS(Mapping!H48="I", 1, Mapping!H48="P", 2, Mapping!H48="D", 3, TRUE, "")</f>
        <v/>
      </c>
      <c r="I50" s="57" t="str">
        <f>IFS(Mapping!I48="I", 1, Mapping!I48="P", 2, Mapping!I48="D", 3, TRUE, "")</f>
        <v/>
      </c>
      <c r="J50" s="57" t="str">
        <f>IFS(Mapping!J48="I", 1, Mapping!J48="P", 2, Mapping!J48="D", 3, TRUE, "")</f>
        <v/>
      </c>
      <c r="K50" s="57" t="str">
        <f>IFS(Mapping!K48="I", 1, Mapping!K48="P", 2, Mapping!K48="D", 3, TRUE, "")</f>
        <v/>
      </c>
      <c r="L50" s="57" t="str">
        <f>IFS(Mapping!L48="I", 1, Mapping!L48="P", 2, Mapping!L48="D", 3, TRUE, "")</f>
        <v/>
      </c>
      <c r="M50" s="57" t="str">
        <f>IFS(Mapping!M48="I", 1, Mapping!M48="P", 2, Mapping!M48="D", 3, TRUE, "")</f>
        <v/>
      </c>
    </row>
    <row r="51">
      <c r="A51" s="37" t="s">
        <v>38</v>
      </c>
      <c r="B51" s="38"/>
      <c r="C51" s="40">
        <f t="shared" ref="C51:M51" si="13">SUM(C52:C54)</f>
        <v>1</v>
      </c>
      <c r="D51" s="40">
        <f t="shared" si="13"/>
        <v>1</v>
      </c>
      <c r="E51" s="40">
        <f t="shared" si="13"/>
        <v>2</v>
      </c>
      <c r="F51" s="40">
        <f t="shared" si="13"/>
        <v>1</v>
      </c>
      <c r="G51" s="40">
        <f t="shared" si="13"/>
        <v>1</v>
      </c>
      <c r="H51" s="40">
        <f t="shared" si="13"/>
        <v>2</v>
      </c>
      <c r="I51" s="40">
        <f t="shared" si="13"/>
        <v>0</v>
      </c>
      <c r="J51" s="40">
        <f t="shared" si="13"/>
        <v>2</v>
      </c>
      <c r="K51" s="40">
        <f t="shared" si="13"/>
        <v>0</v>
      </c>
      <c r="L51" s="40">
        <f t="shared" si="13"/>
        <v>0</v>
      </c>
      <c r="M51" s="40">
        <f t="shared" si="13"/>
        <v>0</v>
      </c>
    </row>
    <row r="52">
      <c r="A52" s="43"/>
      <c r="B52" s="38" t="s">
        <v>55</v>
      </c>
      <c r="C52" s="46">
        <f>IFS(Mapping!C50="I", 1, Mapping!C50="P", 2, Mapping!C50="D", 3, TRUE, "")</f>
        <v>1</v>
      </c>
      <c r="D52" s="46" t="str">
        <f>IFS(Mapping!D50="I", 1, Mapping!D50="P", 2, Mapping!D50="D", 3, TRUE, "")</f>
        <v/>
      </c>
      <c r="E52" s="46" t="str">
        <f>IFS(Mapping!E50="I", 1, Mapping!E50="P", 2, Mapping!E50="D", 3, TRUE, "")</f>
        <v/>
      </c>
      <c r="F52" s="46">
        <f>IFS(Mapping!F50="I", 1, Mapping!F50="P", 2, Mapping!F50="D", 3, TRUE, "")</f>
        <v>1</v>
      </c>
      <c r="G52" s="46" t="str">
        <f>IFS(Mapping!G50="I", 1, Mapping!G50="P", 2, Mapping!G50="D", 3, TRUE, "")</f>
        <v/>
      </c>
      <c r="H52" s="46" t="str">
        <f>IFS(Mapping!H50="I", 1, Mapping!H50="P", 2, Mapping!H50="D", 3, TRUE, "")</f>
        <v/>
      </c>
      <c r="I52" s="46" t="str">
        <f>IFS(Mapping!I50="I", 1, Mapping!I50="P", 2, Mapping!I50="D", 3, TRUE, "")</f>
        <v/>
      </c>
      <c r="J52" s="46" t="str">
        <f>IFS(Mapping!J50="I", 1, Mapping!J50="P", 2, Mapping!J50="D", 3, TRUE, "")</f>
        <v/>
      </c>
      <c r="K52" s="46" t="str">
        <f>IFS(Mapping!K50="I", 1, Mapping!K50="P", 2, Mapping!K50="D", 3, TRUE, "")</f>
        <v/>
      </c>
      <c r="L52" s="46" t="str">
        <f>IFS(Mapping!L50="I", 1, Mapping!L50="P", 2, Mapping!L50="D", 3, TRUE, "")</f>
        <v/>
      </c>
      <c r="M52" s="46" t="str">
        <f>IFS(Mapping!M50="I", 1, Mapping!M50="P", 2, Mapping!M50="D", 3, TRUE, "")</f>
        <v/>
      </c>
    </row>
    <row r="53">
      <c r="A53" s="43"/>
      <c r="B53" s="19" t="s">
        <v>61</v>
      </c>
      <c r="C53" s="49" t="str">
        <f>IFS(Mapping!C51="I", 1, Mapping!C51="P", 2, Mapping!C51="D", 3, TRUE, "")</f>
        <v/>
      </c>
      <c r="D53" s="49">
        <f>IFS(Mapping!D51="I", 1, Mapping!D51="P", 2, Mapping!D51="D", 3, TRUE, "")</f>
        <v>1</v>
      </c>
      <c r="E53" s="49" t="str">
        <f>IFS(Mapping!E51="I", 1, Mapping!E51="P", 2, Mapping!E51="D", 3, TRUE, "")</f>
        <v/>
      </c>
      <c r="F53" s="49" t="str">
        <f>IFS(Mapping!F51="I", 1, Mapping!F51="P", 2, Mapping!F51="D", 3, TRUE, "")</f>
        <v/>
      </c>
      <c r="G53" s="49">
        <f>IFS(Mapping!G51="I", 1, Mapping!G51="P", 2, Mapping!G51="D", 3, TRUE, "")</f>
        <v>1</v>
      </c>
      <c r="H53" s="49" t="str">
        <f>IFS(Mapping!H51="I", 1, Mapping!H51="P", 2, Mapping!H51="D", 3, TRUE, "")</f>
        <v/>
      </c>
      <c r="I53" s="49" t="str">
        <f>IFS(Mapping!I51="I", 1, Mapping!I51="P", 2, Mapping!I51="D", 3, TRUE, "")</f>
        <v/>
      </c>
      <c r="J53" s="49">
        <f>IFS(Mapping!J51="I", 1, Mapping!J51="P", 2, Mapping!J51="D", 3, TRUE, "")</f>
        <v>2</v>
      </c>
      <c r="K53" s="49" t="str">
        <f>IFS(Mapping!K51="I", 1, Mapping!K51="P", 2, Mapping!K51="D", 3, TRUE, "")</f>
        <v/>
      </c>
      <c r="L53" s="49" t="str">
        <f>IFS(Mapping!L51="I", 1, Mapping!L51="P", 2, Mapping!L51="D", 3, TRUE, "")</f>
        <v/>
      </c>
      <c r="M53" s="49" t="str">
        <f>IFS(Mapping!M51="I", 1, Mapping!M51="P", 2, Mapping!M51="D", 3, TRUE, "")</f>
        <v/>
      </c>
    </row>
    <row r="54">
      <c r="A54" s="55"/>
      <c r="B54" s="56" t="s">
        <v>65</v>
      </c>
      <c r="C54" s="57" t="str">
        <f>IFS(Mapping!C52="I", 1, Mapping!C52="P", 2, Mapping!C52="D", 3, TRUE, "")</f>
        <v/>
      </c>
      <c r="D54" s="57" t="str">
        <f>IFS(Mapping!D52="I", 1, Mapping!D52="P", 2, Mapping!D52="D", 3, TRUE, "")</f>
        <v/>
      </c>
      <c r="E54" s="57">
        <f>IFS(Mapping!E52="I", 1, Mapping!E52="P", 2, Mapping!E52="D", 3, TRUE, "")</f>
        <v>2</v>
      </c>
      <c r="F54" s="57" t="str">
        <f>IFS(Mapping!F52="I", 1, Mapping!F52="P", 2, Mapping!F52="D", 3, TRUE, "")</f>
        <v/>
      </c>
      <c r="G54" s="57" t="str">
        <f>IFS(Mapping!G52="I", 1, Mapping!G52="P", 2, Mapping!G52="D", 3, TRUE, "")</f>
        <v/>
      </c>
      <c r="H54" s="57">
        <f>IFS(Mapping!H52="I", 1, Mapping!H52="P", 2, Mapping!H52="D", 3, TRUE, "")</f>
        <v>2</v>
      </c>
      <c r="I54" s="57" t="str">
        <f>IFS(Mapping!I52="I", 1, Mapping!I52="P", 2, Mapping!I52="D", 3, TRUE, "")</f>
        <v/>
      </c>
      <c r="J54" s="57" t="str">
        <f>IFS(Mapping!J52="I", 1, Mapping!J52="P", 2, Mapping!J52="D", 3, TRUE, "")</f>
        <v/>
      </c>
      <c r="K54" s="57" t="str">
        <f>IFS(Mapping!K52="I", 1, Mapping!K52="P", 2, Mapping!K52="D", 3, TRUE, "")</f>
        <v/>
      </c>
      <c r="L54" s="57" t="str">
        <f>IFS(Mapping!L52="I", 1, Mapping!L52="P", 2, Mapping!L52="D", 3, TRUE, "")</f>
        <v/>
      </c>
      <c r="M54" s="57" t="str">
        <f>IFS(Mapping!M52="I", 1, Mapping!M52="P", 2, Mapping!M52="D", 3, TRUE, "")</f>
        <v/>
      </c>
    </row>
    <row r="55">
      <c r="A55" s="37" t="s">
        <v>39</v>
      </c>
      <c r="B55" s="38"/>
      <c r="C55" s="40">
        <f t="shared" ref="C55:M55" si="14">SUM(C56:C58)</f>
        <v>1</v>
      </c>
      <c r="D55" s="40">
        <f t="shared" si="14"/>
        <v>1</v>
      </c>
      <c r="E55" s="40">
        <f t="shared" si="14"/>
        <v>1</v>
      </c>
      <c r="F55" s="40">
        <f t="shared" si="14"/>
        <v>1</v>
      </c>
      <c r="G55" s="40">
        <f t="shared" si="14"/>
        <v>1</v>
      </c>
      <c r="H55" s="40">
        <f t="shared" si="14"/>
        <v>1</v>
      </c>
      <c r="I55" s="40">
        <f t="shared" si="14"/>
        <v>0</v>
      </c>
      <c r="J55" s="40">
        <f t="shared" si="14"/>
        <v>0</v>
      </c>
      <c r="K55" s="40">
        <f t="shared" si="14"/>
        <v>0</v>
      </c>
      <c r="L55" s="40">
        <f t="shared" si="14"/>
        <v>0</v>
      </c>
      <c r="M55" s="40">
        <f t="shared" si="14"/>
        <v>0</v>
      </c>
    </row>
    <row r="56">
      <c r="A56" s="43"/>
      <c r="B56" s="38" t="s">
        <v>55</v>
      </c>
      <c r="C56" s="46">
        <f>IFS(Mapping!C54="I", 1, Mapping!C54="P", 2, Mapping!C54="D", 3, TRUE, "")</f>
        <v>1</v>
      </c>
      <c r="D56" s="46" t="str">
        <f>IFS(Mapping!D54="I", 1, Mapping!D54="P", 2, Mapping!D54="D", 3, TRUE, "")</f>
        <v/>
      </c>
      <c r="E56" s="46" t="str">
        <f>IFS(Mapping!E54="I", 1, Mapping!E54="P", 2, Mapping!E54="D", 3, TRUE, "")</f>
        <v/>
      </c>
      <c r="F56" s="46">
        <f>IFS(Mapping!F54="I", 1, Mapping!F54="P", 2, Mapping!F54="D", 3, TRUE, "")</f>
        <v>1</v>
      </c>
      <c r="G56" s="46" t="str">
        <f>IFS(Mapping!G54="I", 1, Mapping!G54="P", 2, Mapping!G54="D", 3, TRUE, "")</f>
        <v/>
      </c>
      <c r="H56" s="46" t="str">
        <f>IFS(Mapping!H54="I", 1, Mapping!H54="P", 2, Mapping!H54="D", 3, TRUE, "")</f>
        <v/>
      </c>
      <c r="I56" s="46" t="str">
        <f>IFS(Mapping!I54="I", 1, Mapping!I54="P", 2, Mapping!I54="D", 3, TRUE, "")</f>
        <v/>
      </c>
      <c r="J56" s="46" t="str">
        <f>IFS(Mapping!J54="I", 1, Mapping!J54="P", 2, Mapping!J54="D", 3, TRUE, "")</f>
        <v/>
      </c>
      <c r="K56" s="46" t="str">
        <f>IFS(Mapping!K54="I", 1, Mapping!K54="P", 2, Mapping!K54="D", 3, TRUE, "")</f>
        <v/>
      </c>
      <c r="L56" s="46" t="str">
        <f>IFS(Mapping!L54="I", 1, Mapping!L54="P", 2, Mapping!L54="D", 3, TRUE, "")</f>
        <v/>
      </c>
      <c r="M56" s="46" t="str">
        <f>IFS(Mapping!M54="I", 1, Mapping!M54="P", 2, Mapping!M54="D", 3, TRUE, "")</f>
        <v/>
      </c>
    </row>
    <row r="57">
      <c r="A57" s="43"/>
      <c r="B57" s="19" t="s">
        <v>61</v>
      </c>
      <c r="C57" s="49" t="str">
        <f>IFS(Mapping!C55="I", 1, Mapping!C55="P", 2, Mapping!C55="D", 3, TRUE, "")</f>
        <v/>
      </c>
      <c r="D57" s="49">
        <f>IFS(Mapping!D55="I", 1, Mapping!D55="P", 2, Mapping!D55="D", 3, TRUE, "")</f>
        <v>1</v>
      </c>
      <c r="E57" s="49" t="str">
        <f>IFS(Mapping!E55="I", 1, Mapping!E55="P", 2, Mapping!E55="D", 3, TRUE, "")</f>
        <v/>
      </c>
      <c r="F57" s="49" t="str">
        <f>IFS(Mapping!F55="I", 1, Mapping!F55="P", 2, Mapping!F55="D", 3, TRUE, "")</f>
        <v/>
      </c>
      <c r="G57" s="49">
        <f>IFS(Mapping!G55="I", 1, Mapping!G55="P", 2, Mapping!G55="D", 3, TRUE, "")</f>
        <v>1</v>
      </c>
      <c r="H57" s="49" t="str">
        <f>IFS(Mapping!H55="I", 1, Mapping!H55="P", 2, Mapping!H55="D", 3, TRUE, "")</f>
        <v/>
      </c>
      <c r="I57" s="49" t="str">
        <f>IFS(Mapping!I55="I", 1, Mapping!I55="P", 2, Mapping!I55="D", 3, TRUE, "")</f>
        <v/>
      </c>
      <c r="J57" s="49" t="str">
        <f>IFS(Mapping!J55="I", 1, Mapping!J55="P", 2, Mapping!J55="D", 3, TRUE, "")</f>
        <v/>
      </c>
      <c r="K57" s="49" t="str">
        <f>IFS(Mapping!K55="I", 1, Mapping!K55="P", 2, Mapping!K55="D", 3, TRUE, "")</f>
        <v/>
      </c>
      <c r="L57" s="49" t="str">
        <f>IFS(Mapping!L55="I", 1, Mapping!L55="P", 2, Mapping!L55="D", 3, TRUE, "")</f>
        <v/>
      </c>
      <c r="M57" s="49" t="str">
        <f>IFS(Mapping!M55="I", 1, Mapping!M55="P", 2, Mapping!M55="D", 3, TRUE, "")</f>
        <v/>
      </c>
    </row>
    <row r="58">
      <c r="A58" s="55"/>
      <c r="B58" s="56" t="s">
        <v>65</v>
      </c>
      <c r="C58" s="57" t="str">
        <f>IFS(Mapping!C56="I", 1, Mapping!C56="P", 2, Mapping!C56="D", 3, TRUE, "")</f>
        <v/>
      </c>
      <c r="D58" s="57" t="str">
        <f>IFS(Mapping!D56="I", 1, Mapping!D56="P", 2, Mapping!D56="D", 3, TRUE, "")</f>
        <v/>
      </c>
      <c r="E58" s="57">
        <f>IFS(Mapping!E56="I", 1, Mapping!E56="P", 2, Mapping!E56="D", 3, TRUE, "")</f>
        <v>1</v>
      </c>
      <c r="F58" s="57" t="str">
        <f>IFS(Mapping!F56="I", 1, Mapping!F56="P", 2, Mapping!F56="D", 3, TRUE, "")</f>
        <v/>
      </c>
      <c r="G58" s="57" t="str">
        <f>IFS(Mapping!G56="I", 1, Mapping!G56="P", 2, Mapping!G56="D", 3, TRUE, "")</f>
        <v/>
      </c>
      <c r="H58" s="57">
        <f>IFS(Mapping!H56="I", 1, Mapping!H56="P", 2, Mapping!H56="D", 3, TRUE, "")</f>
        <v>1</v>
      </c>
      <c r="I58" s="57" t="str">
        <f>IFS(Mapping!I56="I", 1, Mapping!I56="P", 2, Mapping!I56="D", 3, TRUE, "")</f>
        <v/>
      </c>
      <c r="J58" s="57" t="str">
        <f>IFS(Mapping!J56="I", 1, Mapping!J56="P", 2, Mapping!J56="D", 3, TRUE, "")</f>
        <v/>
      </c>
      <c r="K58" s="57" t="str">
        <f>IFS(Mapping!K56="I", 1, Mapping!K56="P", 2, Mapping!K56="D", 3, TRUE, "")</f>
        <v/>
      </c>
      <c r="L58" s="57" t="str">
        <f>IFS(Mapping!L56="I", 1, Mapping!L56="P", 2, Mapping!L56="D", 3, TRUE, "")</f>
        <v/>
      </c>
      <c r="M58" s="57" t="str">
        <f>IFS(Mapping!M56="I", 1, Mapping!M56="P", 2, Mapping!M56="D", 3, TRUE, "")</f>
        <v/>
      </c>
    </row>
    <row r="59">
      <c r="A59" s="37" t="s">
        <v>40</v>
      </c>
      <c r="B59" s="38"/>
      <c r="C59" s="40">
        <f t="shared" ref="C59:M59" si="15">SUM(C60:C62)</f>
        <v>1</v>
      </c>
      <c r="D59" s="40">
        <f t="shared" si="15"/>
        <v>1</v>
      </c>
      <c r="E59" s="40">
        <f t="shared" si="15"/>
        <v>2</v>
      </c>
      <c r="F59" s="40">
        <f t="shared" si="15"/>
        <v>1</v>
      </c>
      <c r="G59" s="40">
        <f t="shared" si="15"/>
        <v>1</v>
      </c>
      <c r="H59" s="40">
        <f t="shared" si="15"/>
        <v>2</v>
      </c>
      <c r="I59" s="40">
        <f t="shared" si="15"/>
        <v>0</v>
      </c>
      <c r="J59" s="40">
        <f t="shared" si="15"/>
        <v>0</v>
      </c>
      <c r="K59" s="40">
        <f t="shared" si="15"/>
        <v>0</v>
      </c>
      <c r="L59" s="40">
        <f t="shared" si="15"/>
        <v>0</v>
      </c>
      <c r="M59" s="40">
        <f t="shared" si="15"/>
        <v>0</v>
      </c>
    </row>
    <row r="60">
      <c r="A60" s="43"/>
      <c r="B60" s="38" t="s">
        <v>55</v>
      </c>
      <c r="C60" s="46">
        <f>IFS(Mapping!C58="I", 1, Mapping!C58="P", 2, Mapping!C58="D", 3, TRUE, "")</f>
        <v>1</v>
      </c>
      <c r="D60" s="46" t="str">
        <f>IFS(Mapping!D58="I", 1, Mapping!D58="P", 2, Mapping!D58="D", 3, TRUE, "")</f>
        <v/>
      </c>
      <c r="E60" s="46" t="str">
        <f>IFS(Mapping!E58="I", 1, Mapping!E58="P", 2, Mapping!E58="D", 3, TRUE, "")</f>
        <v/>
      </c>
      <c r="F60" s="46">
        <f>IFS(Mapping!F58="I", 1, Mapping!F58="P", 2, Mapping!F58="D", 3, TRUE, "")</f>
        <v>1</v>
      </c>
      <c r="G60" s="46" t="str">
        <f>IFS(Mapping!G58="I", 1, Mapping!G58="P", 2, Mapping!G58="D", 3, TRUE, "")</f>
        <v/>
      </c>
      <c r="H60" s="46" t="str">
        <f>IFS(Mapping!H58="I", 1, Mapping!H58="P", 2, Mapping!H58="D", 3, TRUE, "")</f>
        <v/>
      </c>
      <c r="I60" s="46" t="str">
        <f>IFS(Mapping!I58="I", 1, Mapping!I58="P", 2, Mapping!I58="D", 3, TRUE, "")</f>
        <v/>
      </c>
      <c r="J60" s="46" t="str">
        <f>IFS(Mapping!J58="I", 1, Mapping!J58="P", 2, Mapping!J58="D", 3, TRUE, "")</f>
        <v/>
      </c>
      <c r="K60" s="46" t="str">
        <f>IFS(Mapping!K58="I", 1, Mapping!K58="P", 2, Mapping!K58="D", 3, TRUE, "")</f>
        <v/>
      </c>
      <c r="L60" s="46" t="str">
        <f>IFS(Mapping!L58="I", 1, Mapping!L58="P", 2, Mapping!L58="D", 3, TRUE, "")</f>
        <v/>
      </c>
      <c r="M60" s="46" t="str">
        <f>IFS(Mapping!M58="I", 1, Mapping!M58="P", 2, Mapping!M58="D", 3, TRUE, "")</f>
        <v/>
      </c>
    </row>
    <row r="61">
      <c r="A61" s="43"/>
      <c r="B61" s="19" t="s">
        <v>61</v>
      </c>
      <c r="C61" s="49" t="str">
        <f>IFS(Mapping!C59="I", 1, Mapping!C59="P", 2, Mapping!C59="D", 3, TRUE, "")</f>
        <v/>
      </c>
      <c r="D61" s="49">
        <f>IFS(Mapping!D59="I", 1, Mapping!D59="P", 2, Mapping!D59="D", 3, TRUE, "")</f>
        <v>1</v>
      </c>
      <c r="E61" s="49" t="str">
        <f>IFS(Mapping!E59="I", 1, Mapping!E59="P", 2, Mapping!E59="D", 3, TRUE, "")</f>
        <v/>
      </c>
      <c r="F61" s="49" t="str">
        <f>IFS(Mapping!F59="I", 1, Mapping!F59="P", 2, Mapping!F59="D", 3, TRUE, "")</f>
        <v/>
      </c>
      <c r="G61" s="49">
        <f>IFS(Mapping!G59="I", 1, Mapping!G59="P", 2, Mapping!G59="D", 3, TRUE, "")</f>
        <v>1</v>
      </c>
      <c r="H61" s="49" t="str">
        <f>IFS(Mapping!H59="I", 1, Mapping!H59="P", 2, Mapping!H59="D", 3, TRUE, "")</f>
        <v/>
      </c>
      <c r="I61" s="49" t="str">
        <f>IFS(Mapping!I59="I", 1, Mapping!I59="P", 2, Mapping!I59="D", 3, TRUE, "")</f>
        <v/>
      </c>
      <c r="J61" s="49" t="str">
        <f>IFS(Mapping!J59="I", 1, Mapping!J59="P", 2, Mapping!J59="D", 3, TRUE, "")</f>
        <v/>
      </c>
      <c r="K61" s="49" t="str">
        <f>IFS(Mapping!K59="I", 1, Mapping!K59="P", 2, Mapping!K59="D", 3, TRUE, "")</f>
        <v/>
      </c>
      <c r="L61" s="49" t="str">
        <f>IFS(Mapping!L59="I", 1, Mapping!L59="P", 2, Mapping!L59="D", 3, TRUE, "")</f>
        <v/>
      </c>
      <c r="M61" s="49" t="str">
        <f>IFS(Mapping!M59="I", 1, Mapping!M59="P", 2, Mapping!M59="D", 3, TRUE, "")</f>
        <v/>
      </c>
    </row>
    <row r="62">
      <c r="A62" s="55"/>
      <c r="B62" s="56" t="s">
        <v>65</v>
      </c>
      <c r="C62" s="57" t="str">
        <f>IFS(Mapping!C60="I", 1, Mapping!C60="P", 2, Mapping!C60="D", 3, TRUE, "")</f>
        <v/>
      </c>
      <c r="D62" s="57" t="str">
        <f>IFS(Mapping!D60="I", 1, Mapping!D60="P", 2, Mapping!D60="D", 3, TRUE, "")</f>
        <v/>
      </c>
      <c r="E62" s="57">
        <f>IFS(Mapping!E60="I", 1, Mapping!E60="P", 2, Mapping!E60="D", 3, TRUE, "")</f>
        <v>2</v>
      </c>
      <c r="F62" s="57" t="str">
        <f>IFS(Mapping!F60="I", 1, Mapping!F60="P", 2, Mapping!F60="D", 3, TRUE, "")</f>
        <v/>
      </c>
      <c r="G62" s="57" t="str">
        <f>IFS(Mapping!G60="I", 1, Mapping!G60="P", 2, Mapping!G60="D", 3, TRUE, "")</f>
        <v/>
      </c>
      <c r="H62" s="57">
        <f>IFS(Mapping!H60="I", 1, Mapping!H60="P", 2, Mapping!H60="D", 3, TRUE, "")</f>
        <v>2</v>
      </c>
      <c r="I62" s="57" t="str">
        <f>IFS(Mapping!I60="I", 1, Mapping!I60="P", 2, Mapping!I60="D", 3, TRUE, "")</f>
        <v/>
      </c>
      <c r="J62" s="57" t="str">
        <f>IFS(Mapping!J60="I", 1, Mapping!J60="P", 2, Mapping!J60="D", 3, TRUE, "")</f>
        <v/>
      </c>
      <c r="K62" s="57" t="str">
        <f>IFS(Mapping!K60="I", 1, Mapping!K60="P", 2, Mapping!K60="D", 3, TRUE, "")</f>
        <v/>
      </c>
      <c r="L62" s="57" t="str">
        <f>IFS(Mapping!L60="I", 1, Mapping!L60="P", 2, Mapping!L60="D", 3, TRUE, "")</f>
        <v/>
      </c>
      <c r="M62" s="57" t="str">
        <f>IFS(Mapping!M60="I", 1, Mapping!M60="P", 2, Mapping!M60="D", 3, TRUE, "")</f>
        <v/>
      </c>
    </row>
    <row r="63">
      <c r="A63" s="37" t="s">
        <v>41</v>
      </c>
      <c r="B63" s="38"/>
      <c r="C63" s="40">
        <f t="shared" ref="C63:M63" si="16">SUM(C64:C66)</f>
        <v>1</v>
      </c>
      <c r="D63" s="40">
        <f t="shared" si="16"/>
        <v>2</v>
      </c>
      <c r="E63" s="40">
        <f t="shared" si="16"/>
        <v>2</v>
      </c>
      <c r="F63" s="40">
        <f t="shared" si="16"/>
        <v>1</v>
      </c>
      <c r="G63" s="40">
        <f t="shared" si="16"/>
        <v>2</v>
      </c>
      <c r="H63" s="40">
        <f t="shared" si="16"/>
        <v>2</v>
      </c>
      <c r="I63" s="40">
        <f t="shared" si="16"/>
        <v>1</v>
      </c>
      <c r="J63" s="40">
        <f t="shared" si="16"/>
        <v>2</v>
      </c>
      <c r="K63" s="40">
        <f t="shared" si="16"/>
        <v>0</v>
      </c>
      <c r="L63" s="40">
        <f t="shared" si="16"/>
        <v>0</v>
      </c>
      <c r="M63" s="40">
        <f t="shared" si="16"/>
        <v>0</v>
      </c>
    </row>
    <row r="64">
      <c r="A64" s="43"/>
      <c r="B64" s="38" t="s">
        <v>55</v>
      </c>
      <c r="C64" s="46">
        <f>IFS(Mapping!C62="I", 1, Mapping!C62="P", 2, Mapping!C62="D", 3, TRUE, "")</f>
        <v>1</v>
      </c>
      <c r="D64" s="46" t="str">
        <f>IFS(Mapping!D62="I", 1, Mapping!D62="P", 2, Mapping!D62="D", 3, TRUE, "")</f>
        <v/>
      </c>
      <c r="E64" s="46" t="str">
        <f>IFS(Mapping!E62="I", 1, Mapping!E62="P", 2, Mapping!E62="D", 3, TRUE, "")</f>
        <v/>
      </c>
      <c r="F64" s="46">
        <f>IFS(Mapping!F62="I", 1, Mapping!F62="P", 2, Mapping!F62="D", 3, TRUE, "")</f>
        <v>1</v>
      </c>
      <c r="G64" s="46" t="str">
        <f>IFS(Mapping!G62="I", 1, Mapping!G62="P", 2, Mapping!G62="D", 3, TRUE, "")</f>
        <v/>
      </c>
      <c r="H64" s="46" t="str">
        <f>IFS(Mapping!H62="I", 1, Mapping!H62="P", 2, Mapping!H62="D", 3, TRUE, "")</f>
        <v/>
      </c>
      <c r="I64" s="46">
        <f>IFS(Mapping!I62="I", 1, Mapping!I62="P", 2, Mapping!I62="D", 3, TRUE, "")</f>
        <v>1</v>
      </c>
      <c r="J64" s="46" t="str">
        <f>IFS(Mapping!J62="I", 1, Mapping!J62="P", 2, Mapping!J62="D", 3, TRUE, "")</f>
        <v/>
      </c>
      <c r="K64" s="46" t="str">
        <f>IFS(Mapping!K62="I", 1, Mapping!K62="P", 2, Mapping!K62="D", 3, TRUE, "")</f>
        <v/>
      </c>
      <c r="L64" s="46" t="str">
        <f>IFS(Mapping!L62="I", 1, Mapping!L62="P", 2, Mapping!L62="D", 3, TRUE, "")</f>
        <v/>
      </c>
      <c r="M64" s="46" t="str">
        <f>IFS(Mapping!M62="I", 1, Mapping!M62="P", 2, Mapping!M62="D", 3, TRUE, "")</f>
        <v/>
      </c>
    </row>
    <row r="65">
      <c r="A65" s="43"/>
      <c r="B65" s="19" t="s">
        <v>61</v>
      </c>
      <c r="C65" s="49" t="str">
        <f>IFS(Mapping!C63="I", 1, Mapping!C63="P", 2, Mapping!C63="D", 3, TRUE, "")</f>
        <v/>
      </c>
      <c r="D65" s="49">
        <f>IFS(Mapping!D63="I", 1, Mapping!D63="P", 2, Mapping!D63="D", 3, TRUE, "")</f>
        <v>2</v>
      </c>
      <c r="E65" s="49" t="str">
        <f>IFS(Mapping!E63="I", 1, Mapping!E63="P", 2, Mapping!E63="D", 3, TRUE, "")</f>
        <v/>
      </c>
      <c r="F65" s="49" t="str">
        <f>IFS(Mapping!F63="I", 1, Mapping!F63="P", 2, Mapping!F63="D", 3, TRUE, "")</f>
        <v/>
      </c>
      <c r="G65" s="49">
        <f>IFS(Mapping!G63="I", 1, Mapping!G63="P", 2, Mapping!G63="D", 3, TRUE, "")</f>
        <v>2</v>
      </c>
      <c r="H65" s="49" t="str">
        <f>IFS(Mapping!H63="I", 1, Mapping!H63="P", 2, Mapping!H63="D", 3, TRUE, "")</f>
        <v/>
      </c>
      <c r="I65" s="49" t="str">
        <f>IFS(Mapping!I63="I", 1, Mapping!I63="P", 2, Mapping!I63="D", 3, TRUE, "")</f>
        <v/>
      </c>
      <c r="J65" s="49">
        <f>IFS(Mapping!J63="I", 1, Mapping!J63="P", 2, Mapping!J63="D", 3, TRUE, "")</f>
        <v>2</v>
      </c>
      <c r="K65" s="49" t="str">
        <f>IFS(Mapping!K63="I", 1, Mapping!K63="P", 2, Mapping!K63="D", 3, TRUE, "")</f>
        <v/>
      </c>
      <c r="L65" s="49" t="str">
        <f>IFS(Mapping!L63="I", 1, Mapping!L63="P", 2, Mapping!L63="D", 3, TRUE, "")</f>
        <v/>
      </c>
      <c r="M65" s="49" t="str">
        <f>IFS(Mapping!M63="I", 1, Mapping!M63="P", 2, Mapping!M63="D", 3, TRUE, "")</f>
        <v/>
      </c>
    </row>
    <row r="66">
      <c r="A66" s="55"/>
      <c r="B66" s="56" t="s">
        <v>65</v>
      </c>
      <c r="C66" s="57" t="str">
        <f>IFS(Mapping!C64="I", 1, Mapping!C64="P", 2, Mapping!C64="D", 3, TRUE, "")</f>
        <v/>
      </c>
      <c r="D66" s="57" t="str">
        <f>IFS(Mapping!D64="I", 1, Mapping!D64="P", 2, Mapping!D64="D", 3, TRUE, "")</f>
        <v/>
      </c>
      <c r="E66" s="57">
        <f>IFS(Mapping!E64="I", 1, Mapping!E64="P", 2, Mapping!E64="D", 3, TRUE, "")</f>
        <v>2</v>
      </c>
      <c r="F66" s="57" t="str">
        <f>IFS(Mapping!F64="I", 1, Mapping!F64="P", 2, Mapping!F64="D", 3, TRUE, "")</f>
        <v/>
      </c>
      <c r="G66" s="57" t="str">
        <f>IFS(Mapping!G64="I", 1, Mapping!G64="P", 2, Mapping!G64="D", 3, TRUE, "")</f>
        <v/>
      </c>
      <c r="H66" s="57">
        <f>IFS(Mapping!H64="I", 1, Mapping!H64="P", 2, Mapping!H64="D", 3, TRUE, "")</f>
        <v>2</v>
      </c>
      <c r="I66" s="57" t="str">
        <f>IFS(Mapping!I64="I", 1, Mapping!I64="P", 2, Mapping!I64="D", 3, TRUE, "")</f>
        <v/>
      </c>
      <c r="J66" s="57" t="str">
        <f>IFS(Mapping!J64="I", 1, Mapping!J64="P", 2, Mapping!J64="D", 3, TRUE, "")</f>
        <v/>
      </c>
      <c r="K66" s="57" t="str">
        <f>IFS(Mapping!K64="I", 1, Mapping!K64="P", 2, Mapping!K64="D", 3, TRUE, "")</f>
        <v/>
      </c>
      <c r="L66" s="57" t="str">
        <f>IFS(Mapping!L64="I", 1, Mapping!L64="P", 2, Mapping!L64="D", 3, TRUE, "")</f>
        <v/>
      </c>
      <c r="M66" s="57" t="str">
        <f>IFS(Mapping!M64="I", 1, Mapping!M64="P", 2, Mapping!M64="D", 3, TRUE, "")</f>
        <v/>
      </c>
    </row>
    <row r="67">
      <c r="A67" s="37" t="s">
        <v>42</v>
      </c>
      <c r="B67" s="38"/>
      <c r="C67" s="40">
        <f t="shared" ref="C67:M67" si="17">SUM(C68:C70)</f>
        <v>0</v>
      </c>
      <c r="D67" s="40">
        <f t="shared" si="17"/>
        <v>1</v>
      </c>
      <c r="E67" s="40">
        <f t="shared" si="17"/>
        <v>1</v>
      </c>
      <c r="F67" s="40">
        <f t="shared" si="17"/>
        <v>2</v>
      </c>
      <c r="G67" s="40">
        <f t="shared" si="17"/>
        <v>2</v>
      </c>
      <c r="H67" s="40">
        <f t="shared" si="17"/>
        <v>2</v>
      </c>
      <c r="I67" s="40">
        <f t="shared" si="17"/>
        <v>0</v>
      </c>
      <c r="J67" s="40">
        <f t="shared" si="17"/>
        <v>0</v>
      </c>
      <c r="K67" s="40">
        <f t="shared" si="17"/>
        <v>0</v>
      </c>
      <c r="L67" s="40">
        <f t="shared" si="17"/>
        <v>0</v>
      </c>
      <c r="M67" s="40">
        <f t="shared" si="17"/>
        <v>0</v>
      </c>
    </row>
    <row r="68">
      <c r="A68" s="43"/>
      <c r="B68" s="38" t="s">
        <v>55</v>
      </c>
      <c r="C68" s="46" t="str">
        <f>IFS(Mapping!C66="I", 1, Mapping!C66="P", 2, Mapping!C66="D", 3, TRUE, "")</f>
        <v/>
      </c>
      <c r="D68" s="46">
        <f>IFS(Mapping!D66="I", 1, Mapping!D66="P", 2, Mapping!D66="D", 3, TRUE, "")</f>
        <v>1</v>
      </c>
      <c r="E68" s="46" t="str">
        <f>IFS(Mapping!E66="I", 1, Mapping!E66="P", 2, Mapping!E66="D", 3, TRUE, "")</f>
        <v/>
      </c>
      <c r="F68" s="46" t="str">
        <f>IFS(Mapping!F66="I", 1, Mapping!F66="P", 2, Mapping!F66="D", 3, TRUE, "")</f>
        <v/>
      </c>
      <c r="G68" s="46" t="str">
        <f>IFS(Mapping!G66="I", 1, Mapping!G66="P", 2, Mapping!G66="D", 3, TRUE, "")</f>
        <v/>
      </c>
      <c r="H68" s="46" t="str">
        <f>IFS(Mapping!H66="I", 1, Mapping!H66="P", 2, Mapping!H66="D", 3, TRUE, "")</f>
        <v/>
      </c>
      <c r="I68" s="46" t="str">
        <f>IFS(Mapping!I66="I", 1, Mapping!I66="P", 2, Mapping!I66="D", 3, TRUE, "")</f>
        <v/>
      </c>
      <c r="J68" s="46" t="str">
        <f>IFS(Mapping!J66="I", 1, Mapping!J66="P", 2, Mapping!J66="D", 3, TRUE, "")</f>
        <v/>
      </c>
      <c r="K68" s="46" t="str">
        <f>IFS(Mapping!K66="I", 1, Mapping!K66="P", 2, Mapping!K66="D", 3, TRUE, "")</f>
        <v/>
      </c>
      <c r="L68" s="46" t="str">
        <f>IFS(Mapping!L66="I", 1, Mapping!L66="P", 2, Mapping!L66="D", 3, TRUE, "")</f>
        <v/>
      </c>
      <c r="M68" s="46" t="str">
        <f>IFS(Mapping!M66="I", 1, Mapping!M66="P", 2, Mapping!M66="D", 3, TRUE, "")</f>
        <v/>
      </c>
    </row>
    <row r="69">
      <c r="A69" s="43"/>
      <c r="B69" s="19" t="s">
        <v>61</v>
      </c>
      <c r="C69" s="49" t="str">
        <f>IFS(Mapping!C67="I", 1, Mapping!C67="P", 2, Mapping!C67="D", 3, TRUE, "")</f>
        <v/>
      </c>
      <c r="D69" s="49" t="str">
        <f>IFS(Mapping!D67="I", 1, Mapping!D67="P", 2, Mapping!D67="D", 3, TRUE, "")</f>
        <v/>
      </c>
      <c r="E69" s="49">
        <f>IFS(Mapping!E67="I", 1, Mapping!E67="P", 2, Mapping!E67="D", 3, TRUE, "")</f>
        <v>1</v>
      </c>
      <c r="F69" s="49" t="str">
        <f>IFS(Mapping!F67="I", 1, Mapping!F67="P", 2, Mapping!F67="D", 3, TRUE, "")</f>
        <v/>
      </c>
      <c r="G69" s="49" t="str">
        <f>IFS(Mapping!G67="I", 1, Mapping!G67="P", 2, Mapping!G67="D", 3, TRUE, "")</f>
        <v/>
      </c>
      <c r="H69" s="49" t="str">
        <f>IFS(Mapping!H67="I", 1, Mapping!H67="P", 2, Mapping!H67="D", 3, TRUE, "")</f>
        <v/>
      </c>
      <c r="I69" s="49" t="str">
        <f>IFS(Mapping!I67="I", 1, Mapping!I67="P", 2, Mapping!I67="D", 3, TRUE, "")</f>
        <v/>
      </c>
      <c r="J69" s="49" t="str">
        <f>IFS(Mapping!J67="I", 1, Mapping!J67="P", 2, Mapping!J67="D", 3, TRUE, "")</f>
        <v/>
      </c>
      <c r="K69" s="49" t="str">
        <f>IFS(Mapping!K67="I", 1, Mapping!K67="P", 2, Mapping!K67="D", 3, TRUE, "")</f>
        <v/>
      </c>
      <c r="L69" s="49" t="str">
        <f>IFS(Mapping!L67="I", 1, Mapping!L67="P", 2, Mapping!L67="D", 3, TRUE, "")</f>
        <v/>
      </c>
      <c r="M69" s="49" t="str">
        <f>IFS(Mapping!M67="I", 1, Mapping!M67="P", 2, Mapping!M67="D", 3, TRUE, "")</f>
        <v/>
      </c>
    </row>
    <row r="70">
      <c r="A70" s="55"/>
      <c r="B70" s="56" t="s">
        <v>65</v>
      </c>
      <c r="C70" s="57" t="str">
        <f>IFS(Mapping!C68="I", 1, Mapping!C68="P", 2, Mapping!C68="D", 3, TRUE, "")</f>
        <v/>
      </c>
      <c r="D70" s="57" t="str">
        <f>IFS(Mapping!D68="I", 1, Mapping!D68="P", 2, Mapping!D68="D", 3, TRUE, "")</f>
        <v/>
      </c>
      <c r="E70" s="57" t="str">
        <f>IFS(Mapping!E68="I", 1, Mapping!E68="P", 2, Mapping!E68="D", 3, TRUE, "")</f>
        <v/>
      </c>
      <c r="F70" s="57">
        <f>IFS(Mapping!F68="I", 1, Mapping!F68="P", 2, Mapping!F68="D", 3, TRUE, "")</f>
        <v>2</v>
      </c>
      <c r="G70" s="57">
        <f>IFS(Mapping!G68="I", 1, Mapping!G68="P", 2, Mapping!G68="D", 3, TRUE, "")</f>
        <v>2</v>
      </c>
      <c r="H70" s="57">
        <f>IFS(Mapping!H68="I", 1, Mapping!H68="P", 2, Mapping!H68="D", 3, TRUE, "")</f>
        <v>2</v>
      </c>
      <c r="I70" s="57" t="str">
        <f>IFS(Mapping!I68="I", 1, Mapping!I68="P", 2, Mapping!I68="D", 3, TRUE, "")</f>
        <v/>
      </c>
      <c r="J70" s="57" t="str">
        <f>IFS(Mapping!J68="I", 1, Mapping!J68="P", 2, Mapping!J68="D", 3, TRUE, "")</f>
        <v/>
      </c>
      <c r="K70" s="57" t="str">
        <f>IFS(Mapping!K68="I", 1, Mapping!K68="P", 2, Mapping!K68="D", 3, TRUE, "")</f>
        <v/>
      </c>
      <c r="L70" s="57" t="str">
        <f>IFS(Mapping!L68="I", 1, Mapping!L68="P", 2, Mapping!L68="D", 3, TRUE, "")</f>
        <v/>
      </c>
      <c r="M70" s="57" t="str">
        <f>IFS(Mapping!M68="I", 1, Mapping!M68="P", 2, Mapping!M68="D", 3, TRUE, "")</f>
        <v/>
      </c>
    </row>
    <row r="71">
      <c r="A71" s="37" t="s">
        <v>44</v>
      </c>
      <c r="B71" s="38"/>
      <c r="C71" s="40">
        <f t="shared" ref="C71:M71" si="18">SUM(C72:C74)</f>
        <v>1</v>
      </c>
      <c r="D71" s="40">
        <f t="shared" si="18"/>
        <v>2</v>
      </c>
      <c r="E71" s="40">
        <f t="shared" si="18"/>
        <v>3</v>
      </c>
      <c r="F71" s="40">
        <f t="shared" si="18"/>
        <v>3</v>
      </c>
      <c r="G71" s="40">
        <f t="shared" si="18"/>
        <v>3</v>
      </c>
      <c r="H71" s="40">
        <f t="shared" si="18"/>
        <v>3</v>
      </c>
      <c r="I71" s="40">
        <f t="shared" si="18"/>
        <v>0</v>
      </c>
      <c r="J71" s="40">
        <f t="shared" si="18"/>
        <v>0</v>
      </c>
      <c r="K71" s="40">
        <f t="shared" si="18"/>
        <v>0</v>
      </c>
      <c r="L71" s="40">
        <f t="shared" si="18"/>
        <v>0</v>
      </c>
      <c r="M71" s="40">
        <f t="shared" si="18"/>
        <v>0</v>
      </c>
    </row>
    <row r="72">
      <c r="A72" s="43"/>
      <c r="B72" s="38" t="s">
        <v>55</v>
      </c>
      <c r="C72" s="46">
        <f>IFS(Mapping!C70="I", 1, Mapping!C70="P", 2, Mapping!C70="D", 3, TRUE, "")</f>
        <v>1</v>
      </c>
      <c r="D72" s="46" t="str">
        <f>IFS(Mapping!D70="I", 1, Mapping!D70="P", 2, Mapping!D70="D", 3, TRUE, "")</f>
        <v/>
      </c>
      <c r="E72" s="46" t="str">
        <f>IFS(Mapping!E70="I", 1, Mapping!E70="P", 2, Mapping!E70="D", 3, TRUE, "")</f>
        <v/>
      </c>
      <c r="F72" s="46" t="str">
        <f>IFS(Mapping!F70="I", 1, Mapping!F70="P", 2, Mapping!F70="D", 3, TRUE, "")</f>
        <v/>
      </c>
      <c r="G72" s="46" t="str">
        <f>IFS(Mapping!G70="I", 1, Mapping!G70="P", 2, Mapping!G70="D", 3, TRUE, "")</f>
        <v/>
      </c>
      <c r="H72" s="46" t="str">
        <f>IFS(Mapping!H70="I", 1, Mapping!H70="P", 2, Mapping!H70="D", 3, TRUE, "")</f>
        <v/>
      </c>
      <c r="I72" s="46" t="str">
        <f>IFS(Mapping!I70="I", 1, Mapping!I70="P", 2, Mapping!I70="D", 3, TRUE, "")</f>
        <v/>
      </c>
      <c r="J72" s="46" t="str">
        <f>IFS(Mapping!J70="I", 1, Mapping!J70="P", 2, Mapping!J70="D", 3, TRUE, "")</f>
        <v/>
      </c>
      <c r="K72" s="46" t="str">
        <f>IFS(Mapping!K70="I", 1, Mapping!K70="P", 2, Mapping!K70="D", 3, TRUE, "")</f>
        <v/>
      </c>
      <c r="L72" s="46" t="str">
        <f>IFS(Mapping!L70="I", 1, Mapping!L70="P", 2, Mapping!L70="D", 3, TRUE, "")</f>
        <v/>
      </c>
      <c r="M72" s="46" t="str">
        <f>IFS(Mapping!M70="I", 1, Mapping!M70="P", 2, Mapping!M70="D", 3, TRUE, "")</f>
        <v/>
      </c>
    </row>
    <row r="73">
      <c r="A73" s="43"/>
      <c r="B73" s="19" t="s">
        <v>61</v>
      </c>
      <c r="C73" s="49" t="str">
        <f>IFS(Mapping!C71="I", 1, Mapping!C71="P", 2, Mapping!C71="D", 3, TRUE, "")</f>
        <v/>
      </c>
      <c r="D73" s="49">
        <f>IFS(Mapping!D71="I", 1, Mapping!D71="P", 2, Mapping!D71="D", 3, TRUE, "")</f>
        <v>2</v>
      </c>
      <c r="E73" s="49" t="str">
        <f>IFS(Mapping!E71="I", 1, Mapping!E71="P", 2, Mapping!E71="D", 3, TRUE, "")</f>
        <v/>
      </c>
      <c r="F73" s="49">
        <f>IFS(Mapping!F71="I", 1, Mapping!F71="P", 2, Mapping!F71="D", 3, TRUE, "")</f>
        <v>3</v>
      </c>
      <c r="G73" s="49" t="str">
        <f>IFS(Mapping!G71="I", 1, Mapping!G71="P", 2, Mapping!G71="D", 3, TRUE, "")</f>
        <v/>
      </c>
      <c r="H73" s="49" t="str">
        <f>IFS(Mapping!H71="I", 1, Mapping!H71="P", 2, Mapping!H71="D", 3, TRUE, "")</f>
        <v/>
      </c>
      <c r="I73" s="49" t="str">
        <f>IFS(Mapping!I71="I", 1, Mapping!I71="P", 2, Mapping!I71="D", 3, TRUE, "")</f>
        <v/>
      </c>
      <c r="J73" s="49" t="str">
        <f>IFS(Mapping!J71="I", 1, Mapping!J71="P", 2, Mapping!J71="D", 3, TRUE, "")</f>
        <v/>
      </c>
      <c r="K73" s="49" t="str">
        <f>IFS(Mapping!K71="I", 1, Mapping!K71="P", 2, Mapping!K71="D", 3, TRUE, "")</f>
        <v/>
      </c>
      <c r="L73" s="49" t="str">
        <f>IFS(Mapping!L71="I", 1, Mapping!L71="P", 2, Mapping!L71="D", 3, TRUE, "")</f>
        <v/>
      </c>
      <c r="M73" s="49" t="str">
        <f>IFS(Mapping!M71="I", 1, Mapping!M71="P", 2, Mapping!M71="D", 3, TRUE, "")</f>
        <v/>
      </c>
    </row>
    <row r="74">
      <c r="A74" s="55"/>
      <c r="B74" s="56" t="s">
        <v>65</v>
      </c>
      <c r="C74" s="57" t="str">
        <f>IFS(Mapping!C72="I", 1, Mapping!C72="P", 2, Mapping!C72="D", 3, TRUE, "")</f>
        <v/>
      </c>
      <c r="D74" s="57" t="str">
        <f>IFS(Mapping!D72="I", 1, Mapping!D72="P", 2, Mapping!D72="D", 3, TRUE, "")</f>
        <v/>
      </c>
      <c r="E74" s="57">
        <f>IFS(Mapping!E72="I", 1, Mapping!E72="P", 2, Mapping!E72="D", 3, TRUE, "")</f>
        <v>3</v>
      </c>
      <c r="F74" s="57" t="str">
        <f>IFS(Mapping!F72="I", 1, Mapping!F72="P", 2, Mapping!F72="D", 3, TRUE, "")</f>
        <v/>
      </c>
      <c r="G74" s="57">
        <f>IFS(Mapping!G72="I", 1, Mapping!G72="P", 2, Mapping!G72="D", 3, TRUE, "")</f>
        <v>3</v>
      </c>
      <c r="H74" s="57">
        <f>IFS(Mapping!H72="I", 1, Mapping!H72="P", 2, Mapping!H72="D", 3, TRUE, "")</f>
        <v>3</v>
      </c>
      <c r="I74" s="57" t="str">
        <f>IFS(Mapping!I72="I", 1, Mapping!I72="P", 2, Mapping!I72="D", 3, TRUE, "")</f>
        <v/>
      </c>
      <c r="J74" s="57" t="str">
        <f>IFS(Mapping!J72="I", 1, Mapping!J72="P", 2, Mapping!J72="D", 3, TRUE, "")</f>
        <v/>
      </c>
      <c r="K74" s="57" t="str">
        <f>IFS(Mapping!K72="I", 1, Mapping!K72="P", 2, Mapping!K72="D", 3, TRUE, "")</f>
        <v/>
      </c>
      <c r="L74" s="57" t="str">
        <f>IFS(Mapping!L72="I", 1, Mapping!L72="P", 2, Mapping!L72="D", 3, TRUE, "")</f>
        <v/>
      </c>
      <c r="M74" s="57" t="str">
        <f>IFS(Mapping!M72="I", 1, Mapping!M72="P", 2, Mapping!M72="D", 3, TRUE, "")</f>
        <v/>
      </c>
    </row>
    <row r="75">
      <c r="A75" s="37" t="s">
        <v>46</v>
      </c>
      <c r="B75" s="38"/>
      <c r="C75" s="40">
        <f t="shared" ref="C75:M75" si="19">SUM(C76:C78)</f>
        <v>0</v>
      </c>
      <c r="D75" s="40">
        <f t="shared" si="19"/>
        <v>0</v>
      </c>
      <c r="E75" s="40">
        <f t="shared" si="19"/>
        <v>3</v>
      </c>
      <c r="F75" s="40">
        <f t="shared" si="19"/>
        <v>3</v>
      </c>
      <c r="G75" s="40">
        <f t="shared" si="19"/>
        <v>3</v>
      </c>
      <c r="H75" s="40">
        <f t="shared" si="19"/>
        <v>3</v>
      </c>
      <c r="I75" s="40">
        <f t="shared" si="19"/>
        <v>0</v>
      </c>
      <c r="J75" s="40">
        <f t="shared" si="19"/>
        <v>0</v>
      </c>
      <c r="K75" s="40">
        <f t="shared" si="19"/>
        <v>0</v>
      </c>
      <c r="L75" s="40">
        <f t="shared" si="19"/>
        <v>0</v>
      </c>
      <c r="M75" s="40">
        <f t="shared" si="19"/>
        <v>0</v>
      </c>
    </row>
    <row r="76">
      <c r="A76" s="43"/>
      <c r="B76" s="38" t="s">
        <v>55</v>
      </c>
      <c r="C76" s="46" t="str">
        <f>IFS(Mapping!C74="I", 1, Mapping!C74="P", 2, Mapping!C74="D", 3, TRUE, "")</f>
        <v/>
      </c>
      <c r="D76" s="46" t="str">
        <f>IFS(Mapping!D74="I", 1, Mapping!D74="P", 2, Mapping!D74="D", 3, TRUE, "")</f>
        <v/>
      </c>
      <c r="E76" s="46">
        <f>IFS(Mapping!E74="I", 1, Mapping!E74="P", 2, Mapping!E74="D", 3, TRUE, "")</f>
        <v>3</v>
      </c>
      <c r="F76" s="46" t="str">
        <f>IFS(Mapping!F74="I", 1, Mapping!F74="P", 2, Mapping!F74="D", 3, TRUE, "")</f>
        <v/>
      </c>
      <c r="G76" s="46" t="str">
        <f>IFS(Mapping!G74="I", 1, Mapping!G74="P", 2, Mapping!G74="D", 3, TRUE, "")</f>
        <v/>
      </c>
      <c r="H76" s="46" t="str">
        <f>IFS(Mapping!H74="I", 1, Mapping!H74="P", 2, Mapping!H74="D", 3, TRUE, "")</f>
        <v/>
      </c>
      <c r="I76" s="46" t="str">
        <f>IFS(Mapping!I74="I", 1, Mapping!I74="P", 2, Mapping!I74="D", 3, TRUE, "")</f>
        <v/>
      </c>
      <c r="J76" s="46" t="str">
        <f>IFS(Mapping!J74="I", 1, Mapping!J74="P", 2, Mapping!J74="D", 3, TRUE, "")</f>
        <v/>
      </c>
      <c r="K76" s="46" t="str">
        <f>IFS(Mapping!K74="I", 1, Mapping!K74="P", 2, Mapping!K74="D", 3, TRUE, "")</f>
        <v/>
      </c>
      <c r="L76" s="46" t="str">
        <f>IFS(Mapping!L74="I", 1, Mapping!L74="P", 2, Mapping!L74="D", 3, TRUE, "")</f>
        <v/>
      </c>
      <c r="M76" s="46" t="str">
        <f>IFS(Mapping!M74="I", 1, Mapping!M74="P", 2, Mapping!M74="D", 3, TRUE, "")</f>
        <v/>
      </c>
    </row>
    <row r="77">
      <c r="A77" s="43"/>
      <c r="B77" s="19" t="s">
        <v>61</v>
      </c>
      <c r="C77" s="49" t="str">
        <f>IFS(Mapping!C75="I", 1, Mapping!C75="P", 2, Mapping!C75="D", 3, TRUE, "")</f>
        <v/>
      </c>
      <c r="D77" s="49" t="str">
        <f>IFS(Mapping!D75="I", 1, Mapping!D75="P", 2, Mapping!D75="D", 3, TRUE, "")</f>
        <v/>
      </c>
      <c r="E77" s="49" t="str">
        <f>IFS(Mapping!E75="I", 1, Mapping!E75="P", 2, Mapping!E75="D", 3, TRUE, "")</f>
        <v/>
      </c>
      <c r="F77" s="49">
        <f>IFS(Mapping!F75="I", 1, Mapping!F75="P", 2, Mapping!F75="D", 3, TRUE, "")</f>
        <v>3</v>
      </c>
      <c r="G77" s="49" t="str">
        <f>IFS(Mapping!G75="I", 1, Mapping!G75="P", 2, Mapping!G75="D", 3, TRUE, "")</f>
        <v/>
      </c>
      <c r="H77" s="49" t="str">
        <f>IFS(Mapping!H75="I", 1, Mapping!H75="P", 2, Mapping!H75="D", 3, TRUE, "")</f>
        <v/>
      </c>
      <c r="I77" s="49" t="str">
        <f>IFS(Mapping!I75="I", 1, Mapping!I75="P", 2, Mapping!I75="D", 3, TRUE, "")</f>
        <v/>
      </c>
      <c r="J77" s="49" t="str">
        <f>IFS(Mapping!J75="I", 1, Mapping!J75="P", 2, Mapping!J75="D", 3, TRUE, "")</f>
        <v/>
      </c>
      <c r="K77" s="49" t="str">
        <f>IFS(Mapping!K75="I", 1, Mapping!K75="P", 2, Mapping!K75="D", 3, TRUE, "")</f>
        <v/>
      </c>
      <c r="L77" s="49" t="str">
        <f>IFS(Mapping!L75="I", 1, Mapping!L75="P", 2, Mapping!L75="D", 3, TRUE, "")</f>
        <v/>
      </c>
      <c r="M77" s="49" t="str">
        <f>IFS(Mapping!M75="I", 1, Mapping!M75="P", 2, Mapping!M75="D", 3, TRUE, "")</f>
        <v/>
      </c>
    </row>
    <row r="78">
      <c r="A78" s="55"/>
      <c r="B78" s="56" t="s">
        <v>65</v>
      </c>
      <c r="C78" s="57" t="str">
        <f>IFS(Mapping!C76="I", 1, Mapping!C76="P", 2, Mapping!C76="D", 3, TRUE, "")</f>
        <v/>
      </c>
      <c r="D78" s="57" t="str">
        <f>IFS(Mapping!D76="I", 1, Mapping!D76="P", 2, Mapping!D76="D", 3, TRUE, "")</f>
        <v/>
      </c>
      <c r="E78" s="57" t="str">
        <f>IFS(Mapping!E76="I", 1, Mapping!E76="P", 2, Mapping!E76="D", 3, TRUE, "")</f>
        <v/>
      </c>
      <c r="F78" s="57" t="str">
        <f>IFS(Mapping!F76="I", 1, Mapping!F76="P", 2, Mapping!F76="D", 3, TRUE, "")</f>
        <v/>
      </c>
      <c r="G78" s="57">
        <f>IFS(Mapping!G76="I", 1, Mapping!G76="P", 2, Mapping!G76="D", 3, TRUE, "")</f>
        <v>3</v>
      </c>
      <c r="H78" s="57">
        <f>IFS(Mapping!H76="I", 1, Mapping!H76="P", 2, Mapping!H76="D", 3, TRUE, "")</f>
        <v>3</v>
      </c>
      <c r="I78" s="57" t="str">
        <f>IFS(Mapping!I76="I", 1, Mapping!I76="P", 2, Mapping!I76="D", 3, TRUE, "")</f>
        <v/>
      </c>
      <c r="J78" s="57" t="str">
        <f>IFS(Mapping!J76="I", 1, Mapping!J76="P", 2, Mapping!J76="D", 3, TRUE, "")</f>
        <v/>
      </c>
      <c r="K78" s="57" t="str">
        <f>IFS(Mapping!K76="I", 1, Mapping!K76="P", 2, Mapping!K76="D", 3, TRUE, "")</f>
        <v/>
      </c>
      <c r="L78" s="57" t="str">
        <f>IFS(Mapping!L76="I", 1, Mapping!L76="P", 2, Mapping!L76="D", 3, TRUE, "")</f>
        <v/>
      </c>
      <c r="M78" s="57" t="str">
        <f>IFS(Mapping!M76="I", 1, Mapping!M76="P", 2, Mapping!M76="D", 3, TRUE, "")</f>
        <v/>
      </c>
    </row>
    <row r="79">
      <c r="A79" s="37" t="s">
        <v>47</v>
      </c>
      <c r="B79" s="38"/>
      <c r="C79" s="40">
        <f t="shared" ref="C79:M79" si="20">SUM(C80:C82)</f>
        <v>0</v>
      </c>
      <c r="D79" s="40">
        <f t="shared" si="20"/>
        <v>0</v>
      </c>
      <c r="E79" s="40">
        <f t="shared" si="20"/>
        <v>3</v>
      </c>
      <c r="F79" s="40">
        <f t="shared" si="20"/>
        <v>0</v>
      </c>
      <c r="G79" s="40">
        <f t="shared" si="20"/>
        <v>0</v>
      </c>
      <c r="H79" s="40">
        <f t="shared" si="20"/>
        <v>3</v>
      </c>
      <c r="I79" s="40">
        <f t="shared" si="20"/>
        <v>6</v>
      </c>
      <c r="J79" s="40">
        <f t="shared" si="20"/>
        <v>0</v>
      </c>
      <c r="K79" s="40">
        <f t="shared" si="20"/>
        <v>3</v>
      </c>
      <c r="L79" s="40">
        <f t="shared" si="20"/>
        <v>0</v>
      </c>
      <c r="M79" s="40">
        <f t="shared" si="20"/>
        <v>0</v>
      </c>
    </row>
    <row r="80">
      <c r="A80" s="43"/>
      <c r="B80" s="38" t="s">
        <v>55</v>
      </c>
      <c r="C80" s="46" t="str">
        <f>IFS(Mapping!C78="I", 1, Mapping!C78="P", 2, Mapping!C78="D", 3, TRUE, "")</f>
        <v/>
      </c>
      <c r="D80" s="46" t="str">
        <f>IFS(Mapping!D78="I", 1, Mapping!D78="P", 2, Mapping!D78="D", 3, TRUE, "")</f>
        <v/>
      </c>
      <c r="E80" s="46">
        <f>IFS(Mapping!E78="I", 1, Mapping!E78="P", 2, Mapping!E78="D", 3, TRUE, "")</f>
        <v>3</v>
      </c>
      <c r="F80" s="46" t="str">
        <f>IFS(Mapping!F78="I", 1, Mapping!F78="P", 2, Mapping!F78="D", 3, TRUE, "")</f>
        <v/>
      </c>
      <c r="G80" s="46" t="str">
        <f>IFS(Mapping!G78="I", 1, Mapping!G78="P", 2, Mapping!G78="D", 3, TRUE, "")</f>
        <v/>
      </c>
      <c r="H80" s="46" t="str">
        <f>IFS(Mapping!H78="I", 1, Mapping!H78="P", 2, Mapping!H78="D", 3, TRUE, "")</f>
        <v/>
      </c>
      <c r="I80" s="46">
        <f>IFS(Mapping!I78="I", 1, Mapping!I78="P", 2, Mapping!I78="D", 3, TRUE, "")</f>
        <v>2</v>
      </c>
      <c r="J80" s="46" t="str">
        <f>IFS(Mapping!J78="I", 1, Mapping!J78="P", 2, Mapping!J78="D", 3, TRUE, "")</f>
        <v/>
      </c>
      <c r="K80" s="46" t="str">
        <f>IFS(Mapping!K78="I", 1, Mapping!K78="P", 2, Mapping!K78="D", 3, TRUE, "")</f>
        <v/>
      </c>
      <c r="L80" s="46" t="str">
        <f>IFS(Mapping!L78="I", 1, Mapping!L78="P", 2, Mapping!L78="D", 3, TRUE, "")</f>
        <v/>
      </c>
      <c r="M80" s="46" t="str">
        <f>IFS(Mapping!M78="I", 1, Mapping!M78="P", 2, Mapping!M78="D", 3, TRUE, "")</f>
        <v/>
      </c>
    </row>
    <row r="81">
      <c r="A81" s="43"/>
      <c r="B81" s="19" t="s">
        <v>61</v>
      </c>
      <c r="C81" s="49" t="str">
        <f>IFS(Mapping!C79="I", 1, Mapping!C79="P", 2, Mapping!C79="D", 3, TRUE, "")</f>
        <v/>
      </c>
      <c r="D81" s="49" t="str">
        <f>IFS(Mapping!D79="I", 1, Mapping!D79="P", 2, Mapping!D79="D", 3, TRUE, "")</f>
        <v/>
      </c>
      <c r="E81" s="49" t="str">
        <f>IFS(Mapping!E79="I", 1, Mapping!E79="P", 2, Mapping!E79="D", 3, TRUE, "")</f>
        <v/>
      </c>
      <c r="F81" s="49" t="str">
        <f>IFS(Mapping!F79="I", 1, Mapping!F79="P", 2, Mapping!F79="D", 3, TRUE, "")</f>
        <v/>
      </c>
      <c r="G81" s="49" t="str">
        <f>IFS(Mapping!G79="I", 1, Mapping!G79="P", 2, Mapping!G79="D", 3, TRUE, "")</f>
        <v/>
      </c>
      <c r="H81" s="49">
        <f>IFS(Mapping!H79="I", 1, Mapping!H79="P", 2, Mapping!H79="D", 3, TRUE, "")</f>
        <v>3</v>
      </c>
      <c r="I81" s="49">
        <f>IFS(Mapping!I79="I", 1, Mapping!I79="P", 2, Mapping!I79="D", 3, TRUE, "")</f>
        <v>2</v>
      </c>
      <c r="J81" s="49" t="str">
        <f>IFS(Mapping!J79="I", 1, Mapping!J79="P", 2, Mapping!J79="D", 3, TRUE, "")</f>
        <v/>
      </c>
      <c r="K81" s="49" t="str">
        <f>IFS(Mapping!K79="I", 1, Mapping!K79="P", 2, Mapping!K79="D", 3, TRUE, "")</f>
        <v/>
      </c>
      <c r="L81" s="49" t="str">
        <f>IFS(Mapping!L79="I", 1, Mapping!L79="P", 2, Mapping!L79="D", 3, TRUE, "")</f>
        <v/>
      </c>
      <c r="M81" s="49" t="str">
        <f>IFS(Mapping!M79="I", 1, Mapping!M79="P", 2, Mapping!M79="D", 3, TRUE, "")</f>
        <v/>
      </c>
    </row>
    <row r="82">
      <c r="A82" s="55"/>
      <c r="B82" s="56" t="s">
        <v>65</v>
      </c>
      <c r="C82" s="57" t="str">
        <f>IFS(Mapping!C80="I", 1, Mapping!C80="P", 2, Mapping!C80="D", 3, TRUE, "")</f>
        <v/>
      </c>
      <c r="D82" s="57" t="str">
        <f>IFS(Mapping!D80="I", 1, Mapping!D80="P", 2, Mapping!D80="D", 3, TRUE, "")</f>
        <v/>
      </c>
      <c r="E82" s="57" t="str">
        <f>IFS(Mapping!E80="I", 1, Mapping!E80="P", 2, Mapping!E80="D", 3, TRUE, "")</f>
        <v/>
      </c>
      <c r="F82" s="57" t="str">
        <f>IFS(Mapping!F80="I", 1, Mapping!F80="P", 2, Mapping!F80="D", 3, TRUE, "")</f>
        <v/>
      </c>
      <c r="G82" s="57" t="str">
        <f>IFS(Mapping!G80="I", 1, Mapping!G80="P", 2, Mapping!G80="D", 3, TRUE, "")</f>
        <v/>
      </c>
      <c r="H82" s="57" t="str">
        <f>IFS(Mapping!H80="I", 1, Mapping!H80="P", 2, Mapping!H80="D", 3, TRUE, "")</f>
        <v/>
      </c>
      <c r="I82" s="57">
        <f>IFS(Mapping!I80="I", 1, Mapping!I80="P", 2, Mapping!I80="D", 3, TRUE, "")</f>
        <v>2</v>
      </c>
      <c r="J82" s="57" t="str">
        <f>IFS(Mapping!J80="I", 1, Mapping!J80="P", 2, Mapping!J80="D", 3, TRUE, "")</f>
        <v/>
      </c>
      <c r="K82" s="57">
        <f>IFS(Mapping!K80="I", 1, Mapping!K80="P", 2, Mapping!K80="D", 3, TRUE, "")</f>
        <v>3</v>
      </c>
      <c r="L82" s="57" t="str">
        <f>IFS(Mapping!L80="I", 1, Mapping!L80="P", 2, Mapping!L80="D", 3, TRUE, "")</f>
        <v/>
      </c>
      <c r="M82" s="57" t="str">
        <f>IFS(Mapping!M80="I", 1, Mapping!M80="P", 2, Mapping!M80="D", 3, TRUE, "")</f>
        <v/>
      </c>
    </row>
    <row r="83">
      <c r="A83" s="37" t="s">
        <v>48</v>
      </c>
      <c r="B83" s="38"/>
      <c r="C83" s="40">
        <f t="shared" ref="C83:M83" si="21">SUM(C84:C86)</f>
        <v>0</v>
      </c>
      <c r="D83" s="40">
        <f t="shared" si="21"/>
        <v>0</v>
      </c>
      <c r="E83" s="40">
        <f t="shared" si="21"/>
        <v>0</v>
      </c>
      <c r="F83" s="40">
        <f t="shared" si="21"/>
        <v>1</v>
      </c>
      <c r="G83" s="40">
        <f t="shared" si="21"/>
        <v>2</v>
      </c>
      <c r="H83" s="40">
        <f t="shared" si="21"/>
        <v>3</v>
      </c>
      <c r="I83" s="40">
        <f t="shared" si="21"/>
        <v>6</v>
      </c>
      <c r="J83" s="40">
        <f t="shared" si="21"/>
        <v>2</v>
      </c>
      <c r="K83" s="40">
        <f t="shared" si="21"/>
        <v>2</v>
      </c>
      <c r="L83" s="40">
        <f t="shared" si="21"/>
        <v>0</v>
      </c>
      <c r="M83" s="40">
        <f t="shared" si="21"/>
        <v>0</v>
      </c>
    </row>
    <row r="84">
      <c r="A84" s="43"/>
      <c r="B84" s="38" t="s">
        <v>55</v>
      </c>
      <c r="C84" s="46" t="str">
        <f>IFS(Mapping!C82="I", 1, Mapping!C82="P", 2, Mapping!C82="D", 3, TRUE, "")</f>
        <v/>
      </c>
      <c r="D84" s="46" t="str">
        <f>IFS(Mapping!D82="I", 1, Mapping!D82="P", 2, Mapping!D82="D", 3, TRUE, "")</f>
        <v/>
      </c>
      <c r="E84" s="46" t="str">
        <f>IFS(Mapping!E82="I", 1, Mapping!E82="P", 2, Mapping!E82="D", 3, TRUE, "")</f>
        <v/>
      </c>
      <c r="F84" s="46">
        <f>IFS(Mapping!F82="I", 1, Mapping!F82="P", 2, Mapping!F82="D", 3, TRUE, "")</f>
        <v>1</v>
      </c>
      <c r="G84" s="46" t="str">
        <f>IFS(Mapping!G82="I", 1, Mapping!G82="P", 2, Mapping!G82="D", 3, TRUE, "")</f>
        <v/>
      </c>
      <c r="H84" s="46" t="str">
        <f>IFS(Mapping!H82="I", 1, Mapping!H82="P", 2, Mapping!H82="D", 3, TRUE, "")</f>
        <v/>
      </c>
      <c r="I84" s="46">
        <f>IFS(Mapping!I82="I", 1, Mapping!I82="P", 2, Mapping!I82="D", 3, TRUE, "")</f>
        <v>2</v>
      </c>
      <c r="J84" s="46" t="str">
        <f>IFS(Mapping!J82="I", 1, Mapping!J82="P", 2, Mapping!J82="D", 3, TRUE, "")</f>
        <v/>
      </c>
      <c r="K84" s="46" t="str">
        <f>IFS(Mapping!K82="I", 1, Mapping!K82="P", 2, Mapping!K82="D", 3, TRUE, "")</f>
        <v/>
      </c>
      <c r="L84" s="46" t="str">
        <f>IFS(Mapping!L82="I", 1, Mapping!L82="P", 2, Mapping!L82="D", 3, TRUE, "")</f>
        <v/>
      </c>
      <c r="M84" s="46" t="str">
        <f>IFS(Mapping!M82="I", 1, Mapping!M82="P", 2, Mapping!M82="D", 3, TRUE, "")</f>
        <v/>
      </c>
    </row>
    <row r="85">
      <c r="A85" s="43"/>
      <c r="B85" s="19" t="s">
        <v>61</v>
      </c>
      <c r="C85" s="49" t="str">
        <f>IFS(Mapping!C83="I", 1, Mapping!C83="P", 2, Mapping!C83="D", 3, TRUE, "")</f>
        <v/>
      </c>
      <c r="D85" s="49" t="str">
        <f>IFS(Mapping!D83="I", 1, Mapping!D83="P", 2, Mapping!D83="D", 3, TRUE, "")</f>
        <v/>
      </c>
      <c r="E85" s="49" t="str">
        <f>IFS(Mapping!E83="I", 1, Mapping!E83="P", 2, Mapping!E83="D", 3, TRUE, "")</f>
        <v/>
      </c>
      <c r="F85" s="49" t="str">
        <f>IFS(Mapping!F83="I", 1, Mapping!F83="P", 2, Mapping!F83="D", 3, TRUE, "")</f>
        <v/>
      </c>
      <c r="G85" s="49">
        <f>IFS(Mapping!G83="I", 1, Mapping!G83="P", 2, Mapping!G83="D", 3, TRUE, "")</f>
        <v>2</v>
      </c>
      <c r="H85" s="49" t="str">
        <f>IFS(Mapping!H83="I", 1, Mapping!H83="P", 2, Mapping!H83="D", 3, TRUE, "")</f>
        <v/>
      </c>
      <c r="I85" s="49">
        <f>IFS(Mapping!I83="I", 1, Mapping!I83="P", 2, Mapping!I83="D", 3, TRUE, "")</f>
        <v>2</v>
      </c>
      <c r="J85" s="49" t="str">
        <f>IFS(Mapping!J83="I", 1, Mapping!J83="P", 2, Mapping!J83="D", 3, TRUE, "")</f>
        <v/>
      </c>
      <c r="K85" s="49" t="str">
        <f>IFS(Mapping!K83="I", 1, Mapping!K83="P", 2, Mapping!K83="D", 3, TRUE, "")</f>
        <v/>
      </c>
      <c r="L85" s="49" t="str">
        <f>IFS(Mapping!L83="I", 1, Mapping!L83="P", 2, Mapping!L83="D", 3, TRUE, "")</f>
        <v/>
      </c>
      <c r="M85" s="49" t="str">
        <f>IFS(Mapping!M83="I", 1, Mapping!M83="P", 2, Mapping!M83="D", 3, TRUE, "")</f>
        <v/>
      </c>
    </row>
    <row r="86">
      <c r="A86" s="55"/>
      <c r="B86" s="56" t="s">
        <v>65</v>
      </c>
      <c r="C86" s="57" t="str">
        <f>IFS(Mapping!C84="I", 1, Mapping!C84="P", 2, Mapping!C84="D", 3, TRUE, "")</f>
        <v/>
      </c>
      <c r="D86" s="57" t="str">
        <f>IFS(Mapping!D84="I", 1, Mapping!D84="P", 2, Mapping!D84="D", 3, TRUE, "")</f>
        <v/>
      </c>
      <c r="E86" s="57" t="str">
        <f>IFS(Mapping!E84="I", 1, Mapping!E84="P", 2, Mapping!E84="D", 3, TRUE, "")</f>
        <v/>
      </c>
      <c r="F86" s="57" t="str">
        <f>IFS(Mapping!F84="I", 1, Mapping!F84="P", 2, Mapping!F84="D", 3, TRUE, "")</f>
        <v/>
      </c>
      <c r="G86" s="57" t="str">
        <f>IFS(Mapping!G84="I", 1, Mapping!G84="P", 2, Mapping!G84="D", 3, TRUE, "")</f>
        <v/>
      </c>
      <c r="H86" s="57">
        <f>IFS(Mapping!H84="I", 1, Mapping!H84="P", 2, Mapping!H84="D", 3, TRUE, "")</f>
        <v>3</v>
      </c>
      <c r="I86" s="57">
        <f>IFS(Mapping!I84="I", 1, Mapping!I84="P", 2, Mapping!I84="D", 3, TRUE, "")</f>
        <v>2</v>
      </c>
      <c r="J86" s="57">
        <f>IFS(Mapping!J84="I", 1, Mapping!J84="P", 2, Mapping!J84="D", 3, TRUE, "")</f>
        <v>2</v>
      </c>
      <c r="K86" s="57">
        <f>IFS(Mapping!K84="I", 1, Mapping!K84="P", 2, Mapping!K84="D", 3, TRUE, "")</f>
        <v>2</v>
      </c>
      <c r="L86" s="57" t="str">
        <f>IFS(Mapping!L84="I", 1, Mapping!L84="P", 2, Mapping!L84="D", 3, TRUE, "")</f>
        <v/>
      </c>
      <c r="M86" s="57" t="str">
        <f>IFS(Mapping!M84="I", 1, Mapping!M84="P", 2, Mapping!M84="D", 3, TRUE, "")</f>
        <v/>
      </c>
    </row>
    <row r="87">
      <c r="A87" s="37" t="s">
        <v>50</v>
      </c>
      <c r="B87" s="38"/>
      <c r="C87" s="40">
        <f t="shared" ref="C87:M87" si="22">SUM(C88:C90)</f>
        <v>1</v>
      </c>
      <c r="D87" s="40">
        <f t="shared" si="22"/>
        <v>2</v>
      </c>
      <c r="E87" s="40">
        <f t="shared" si="22"/>
        <v>3</v>
      </c>
      <c r="F87" s="40">
        <f t="shared" si="22"/>
        <v>1</v>
      </c>
      <c r="G87" s="40">
        <f t="shared" si="22"/>
        <v>2</v>
      </c>
      <c r="H87" s="40">
        <f t="shared" si="22"/>
        <v>0</v>
      </c>
      <c r="I87" s="40">
        <f t="shared" si="22"/>
        <v>0</v>
      </c>
      <c r="J87" s="40">
        <f t="shared" si="22"/>
        <v>0</v>
      </c>
      <c r="K87" s="40">
        <f t="shared" si="22"/>
        <v>0</v>
      </c>
      <c r="L87" s="40">
        <f t="shared" si="22"/>
        <v>0</v>
      </c>
      <c r="M87" s="40">
        <f t="shared" si="22"/>
        <v>0</v>
      </c>
    </row>
    <row r="88">
      <c r="A88" s="43"/>
      <c r="B88" s="38" t="s">
        <v>55</v>
      </c>
      <c r="C88" s="46">
        <f>IFS(Mapping!C86="I", 1, Mapping!C86="P", 2, Mapping!C86="D", 3, TRUE, "")</f>
        <v>1</v>
      </c>
      <c r="D88" s="46" t="str">
        <f>IFS(Mapping!D86="I", 1, Mapping!D86="P", 2, Mapping!D86="D", 3, TRUE, "")</f>
        <v/>
      </c>
      <c r="E88" s="46" t="str">
        <f>IFS(Mapping!E86="I", 1, Mapping!E86="P", 2, Mapping!E86="D", 3, TRUE, "")</f>
        <v/>
      </c>
      <c r="F88" s="46">
        <f>IFS(Mapping!F86="I", 1, Mapping!F86="P", 2, Mapping!F86="D", 3, TRUE, "")</f>
        <v>1</v>
      </c>
      <c r="G88" s="46" t="str">
        <f>IFS(Mapping!G86="I", 1, Mapping!G86="P", 2, Mapping!G86="D", 3, TRUE, "")</f>
        <v/>
      </c>
      <c r="H88" s="46" t="str">
        <f>IFS(Mapping!H86="I", 1, Mapping!H86="P", 2, Mapping!H86="D", 3, TRUE, "")</f>
        <v/>
      </c>
      <c r="I88" s="46" t="str">
        <f>IFS(Mapping!I86="I", 1, Mapping!I86="P", 2, Mapping!I86="D", 3, TRUE, "")</f>
        <v/>
      </c>
      <c r="J88" s="46" t="str">
        <f>IFS(Mapping!J86="I", 1, Mapping!J86="P", 2, Mapping!J86="D", 3, TRUE, "")</f>
        <v/>
      </c>
      <c r="K88" s="46" t="str">
        <f>IFS(Mapping!K86="I", 1, Mapping!K86="P", 2, Mapping!K86="D", 3, TRUE, "")</f>
        <v/>
      </c>
      <c r="L88" s="46" t="str">
        <f>IFS(Mapping!L86="I", 1, Mapping!L86="P", 2, Mapping!L86="D", 3, TRUE, "")</f>
        <v/>
      </c>
      <c r="M88" s="46" t="str">
        <f>IFS(Mapping!M86="I", 1, Mapping!M86="P", 2, Mapping!M86="D", 3, TRUE, "")</f>
        <v/>
      </c>
    </row>
    <row r="89">
      <c r="A89" s="43"/>
      <c r="B89" s="19" t="s">
        <v>61</v>
      </c>
      <c r="C89" s="49" t="str">
        <f>IFS(Mapping!C87="I", 1, Mapping!C87="P", 2, Mapping!C87="D", 3, TRUE, "")</f>
        <v/>
      </c>
      <c r="D89" s="49">
        <f>IFS(Mapping!D87="I", 1, Mapping!D87="P", 2, Mapping!D87="D", 3, TRUE, "")</f>
        <v>2</v>
      </c>
      <c r="E89" s="49" t="str">
        <f>IFS(Mapping!E87="I", 1, Mapping!E87="P", 2, Mapping!E87="D", 3, TRUE, "")</f>
        <v/>
      </c>
      <c r="F89" s="49" t="str">
        <f>IFS(Mapping!F87="I", 1, Mapping!F87="P", 2, Mapping!F87="D", 3, TRUE, "")</f>
        <v/>
      </c>
      <c r="G89" s="49">
        <f>IFS(Mapping!G87="I", 1, Mapping!G87="P", 2, Mapping!G87="D", 3, TRUE, "")</f>
        <v>2</v>
      </c>
      <c r="H89" s="49" t="str">
        <f>IFS(Mapping!H87="I", 1, Mapping!H87="P", 2, Mapping!H87="D", 3, TRUE, "")</f>
        <v/>
      </c>
      <c r="I89" s="49" t="str">
        <f>IFS(Mapping!I87="I", 1, Mapping!I87="P", 2, Mapping!I87="D", 3, TRUE, "")</f>
        <v/>
      </c>
      <c r="J89" s="49" t="str">
        <f>IFS(Mapping!J87="I", 1, Mapping!J87="P", 2, Mapping!J87="D", 3, TRUE, "")</f>
        <v/>
      </c>
      <c r="K89" s="49" t="str">
        <f>IFS(Mapping!K87="I", 1, Mapping!K87="P", 2, Mapping!K87="D", 3, TRUE, "")</f>
        <v/>
      </c>
      <c r="L89" s="49" t="str">
        <f>IFS(Mapping!L87="I", 1, Mapping!L87="P", 2, Mapping!L87="D", 3, TRUE, "")</f>
        <v/>
      </c>
      <c r="M89" s="49" t="str">
        <f>IFS(Mapping!M87="I", 1, Mapping!M87="P", 2, Mapping!M87="D", 3, TRUE, "")</f>
        <v/>
      </c>
    </row>
    <row r="90">
      <c r="A90" s="55"/>
      <c r="B90" s="56" t="s">
        <v>65</v>
      </c>
      <c r="C90" s="57" t="str">
        <f>IFS(Mapping!C88="I", 1, Mapping!C88="P", 2, Mapping!C88="D", 3, TRUE, "")</f>
        <v/>
      </c>
      <c r="D90" s="57" t="str">
        <f>IFS(Mapping!D88="I", 1, Mapping!D88="P", 2, Mapping!D88="D", 3, TRUE, "")</f>
        <v/>
      </c>
      <c r="E90" s="57">
        <f>IFS(Mapping!E88="I", 1, Mapping!E88="P", 2, Mapping!E88="D", 3, TRUE, "")</f>
        <v>3</v>
      </c>
      <c r="F90" s="57" t="str">
        <f>IFS(Mapping!F88="I", 1, Mapping!F88="P", 2, Mapping!F88="D", 3, TRUE, "")</f>
        <v/>
      </c>
      <c r="G90" s="57" t="str">
        <f>IFS(Mapping!G88="I", 1, Mapping!G88="P", 2, Mapping!G88="D", 3, TRUE, "")</f>
        <v/>
      </c>
      <c r="H90" s="57" t="str">
        <f>IFS(Mapping!H88="I", 1, Mapping!H88="P", 2, Mapping!H88="D", 3, TRUE, "")</f>
        <v/>
      </c>
      <c r="I90" s="57" t="str">
        <f>IFS(Mapping!I88="I", 1, Mapping!I88="P", 2, Mapping!I88="D", 3, TRUE, "")</f>
        <v/>
      </c>
      <c r="J90" s="57" t="str">
        <f>IFS(Mapping!J88="I", 1, Mapping!J88="P", 2, Mapping!J88="D", 3, TRUE, "")</f>
        <v/>
      </c>
      <c r="K90" s="57" t="str">
        <f>IFS(Mapping!K88="I", 1, Mapping!K88="P", 2, Mapping!K88="D", 3, TRUE, "")</f>
        <v/>
      </c>
      <c r="L90" s="57" t="str">
        <f>IFS(Mapping!L88="I", 1, Mapping!L88="P", 2, Mapping!L88="D", 3, TRUE, "")</f>
        <v/>
      </c>
      <c r="M90" s="57" t="str">
        <f>IFS(Mapping!M88="I", 1, Mapping!M88="P", 2, Mapping!M88="D", 3, TRUE, "")</f>
        <v/>
      </c>
    </row>
    <row r="91">
      <c r="A91" s="37" t="s">
        <v>51</v>
      </c>
      <c r="B91" s="38"/>
      <c r="C91" s="40">
        <f t="shared" ref="C91:M91" si="23">SUM(C92:C94)</f>
        <v>2</v>
      </c>
      <c r="D91" s="40">
        <f t="shared" si="23"/>
        <v>2</v>
      </c>
      <c r="E91" s="40">
        <f t="shared" si="23"/>
        <v>3</v>
      </c>
      <c r="F91" s="40">
        <f t="shared" si="23"/>
        <v>2</v>
      </c>
      <c r="G91" s="40">
        <f t="shared" si="23"/>
        <v>2</v>
      </c>
      <c r="H91" s="40">
        <f t="shared" si="23"/>
        <v>3</v>
      </c>
      <c r="I91" s="40">
        <f t="shared" si="23"/>
        <v>0</v>
      </c>
      <c r="J91" s="40">
        <f t="shared" si="23"/>
        <v>0</v>
      </c>
      <c r="K91" s="40">
        <f t="shared" si="23"/>
        <v>0</v>
      </c>
      <c r="L91" s="40">
        <f t="shared" si="23"/>
        <v>0</v>
      </c>
      <c r="M91" s="40">
        <f t="shared" si="23"/>
        <v>0</v>
      </c>
    </row>
    <row r="92">
      <c r="A92" s="43"/>
      <c r="B92" s="38" t="s">
        <v>55</v>
      </c>
      <c r="C92" s="46">
        <f>IFS(Mapping!C90="I", 1, Mapping!C90="P", 2, Mapping!C90="D", 3, TRUE, "")</f>
        <v>2</v>
      </c>
      <c r="D92" s="46" t="str">
        <f>IFS(Mapping!D90="I", 1, Mapping!D90="P", 2, Mapping!D90="D", 3, TRUE, "")</f>
        <v/>
      </c>
      <c r="E92" s="46" t="str">
        <f>IFS(Mapping!E90="I", 1, Mapping!E90="P", 2, Mapping!E90="D", 3, TRUE, "")</f>
        <v/>
      </c>
      <c r="F92" s="46">
        <f>IFS(Mapping!F90="I", 1, Mapping!F90="P", 2, Mapping!F90="D", 3, TRUE, "")</f>
        <v>2</v>
      </c>
      <c r="G92" s="46" t="str">
        <f>IFS(Mapping!G90="I", 1, Mapping!G90="P", 2, Mapping!G90="D", 3, TRUE, "")</f>
        <v/>
      </c>
      <c r="H92" s="46" t="str">
        <f>IFS(Mapping!H90="I", 1, Mapping!H90="P", 2, Mapping!H90="D", 3, TRUE, "")</f>
        <v/>
      </c>
      <c r="I92" s="46" t="str">
        <f>IFS(Mapping!I90="I", 1, Mapping!I90="P", 2, Mapping!I90="D", 3, TRUE, "")</f>
        <v/>
      </c>
      <c r="J92" s="46" t="str">
        <f>IFS(Mapping!J90="I", 1, Mapping!J90="P", 2, Mapping!J90="D", 3, TRUE, "")</f>
        <v/>
      </c>
      <c r="K92" s="46" t="str">
        <f>IFS(Mapping!K90="I", 1, Mapping!K90="P", 2, Mapping!K90="D", 3, TRUE, "")</f>
        <v/>
      </c>
      <c r="L92" s="46" t="str">
        <f>IFS(Mapping!L90="I", 1, Mapping!L90="P", 2, Mapping!L90="D", 3, TRUE, "")</f>
        <v/>
      </c>
      <c r="M92" s="46" t="str">
        <f>IFS(Mapping!M90="I", 1, Mapping!M90="P", 2, Mapping!M90="D", 3, TRUE, "")</f>
        <v/>
      </c>
    </row>
    <row r="93">
      <c r="A93" s="43"/>
      <c r="B93" s="19" t="s">
        <v>61</v>
      </c>
      <c r="C93" s="49" t="str">
        <f>IFS(Mapping!C91="I", 1, Mapping!C91="P", 2, Mapping!C91="D", 3, TRUE, "")</f>
        <v/>
      </c>
      <c r="D93" s="49">
        <f>IFS(Mapping!D91="I", 1, Mapping!D91="P", 2, Mapping!D91="D", 3, TRUE, "")</f>
        <v>2</v>
      </c>
      <c r="E93" s="49" t="str">
        <f>IFS(Mapping!E91="I", 1, Mapping!E91="P", 2, Mapping!E91="D", 3, TRUE, "")</f>
        <v/>
      </c>
      <c r="F93" s="49" t="str">
        <f>IFS(Mapping!F91="I", 1, Mapping!F91="P", 2, Mapping!F91="D", 3, TRUE, "")</f>
        <v/>
      </c>
      <c r="G93" s="49">
        <f>IFS(Mapping!G91="I", 1, Mapping!G91="P", 2, Mapping!G91="D", 3, TRUE, "")</f>
        <v>2</v>
      </c>
      <c r="H93" s="49" t="str">
        <f>IFS(Mapping!H91="I", 1, Mapping!H91="P", 2, Mapping!H91="D", 3, TRUE, "")</f>
        <v/>
      </c>
      <c r="I93" s="49" t="str">
        <f>IFS(Mapping!I91="I", 1, Mapping!I91="P", 2, Mapping!I91="D", 3, TRUE, "")</f>
        <v/>
      </c>
      <c r="J93" s="49" t="str">
        <f>IFS(Mapping!J91="I", 1, Mapping!J91="P", 2, Mapping!J91="D", 3, TRUE, "")</f>
        <v/>
      </c>
      <c r="K93" s="49" t="str">
        <f>IFS(Mapping!K91="I", 1, Mapping!K91="P", 2, Mapping!K91="D", 3, TRUE, "")</f>
        <v/>
      </c>
      <c r="L93" s="49" t="str">
        <f>IFS(Mapping!L91="I", 1, Mapping!L91="P", 2, Mapping!L91="D", 3, TRUE, "")</f>
        <v/>
      </c>
      <c r="M93" s="49" t="str">
        <f>IFS(Mapping!M91="I", 1, Mapping!M91="P", 2, Mapping!M91="D", 3, TRUE, "")</f>
        <v/>
      </c>
    </row>
    <row r="94">
      <c r="A94" s="55"/>
      <c r="B94" s="56" t="s">
        <v>65</v>
      </c>
      <c r="C94" s="57" t="str">
        <f>IFS(Mapping!C92="I", 1, Mapping!C92="P", 2, Mapping!C92="D", 3, TRUE, "")</f>
        <v/>
      </c>
      <c r="D94" s="57" t="str">
        <f>IFS(Mapping!D92="I", 1, Mapping!D92="P", 2, Mapping!D92="D", 3, TRUE, "")</f>
        <v/>
      </c>
      <c r="E94" s="57">
        <f>IFS(Mapping!E92="I", 1, Mapping!E92="P", 2, Mapping!E92="D", 3, TRUE, "")</f>
        <v>3</v>
      </c>
      <c r="F94" s="57" t="str">
        <f>IFS(Mapping!F92="I", 1, Mapping!F92="P", 2, Mapping!F92="D", 3, TRUE, "")</f>
        <v/>
      </c>
      <c r="G94" s="57" t="str">
        <f>IFS(Mapping!G92="I", 1, Mapping!G92="P", 2, Mapping!G92="D", 3, TRUE, "")</f>
        <v/>
      </c>
      <c r="H94" s="57">
        <f>IFS(Mapping!H92="I", 1, Mapping!H92="P", 2, Mapping!H92="D", 3, TRUE, "")</f>
        <v>3</v>
      </c>
      <c r="I94" s="57" t="str">
        <f>IFS(Mapping!I92="I", 1, Mapping!I92="P", 2, Mapping!I92="D", 3, TRUE, "")</f>
        <v/>
      </c>
      <c r="J94" s="57" t="str">
        <f>IFS(Mapping!J92="I", 1, Mapping!J92="P", 2, Mapping!J92="D", 3, TRUE, "")</f>
        <v/>
      </c>
      <c r="K94" s="57" t="str">
        <f>IFS(Mapping!K92="I", 1, Mapping!K92="P", 2, Mapping!K92="D", 3, TRUE, "")</f>
        <v/>
      </c>
      <c r="L94" s="57" t="str">
        <f>IFS(Mapping!L92="I", 1, Mapping!L92="P", 2, Mapping!L92="D", 3, TRUE, "")</f>
        <v/>
      </c>
      <c r="M94" s="57" t="str">
        <f>IFS(Mapping!M92="I", 1, Mapping!M92="P", 2, Mapping!M92="D", 3, TRUE, "")</f>
        <v/>
      </c>
    </row>
    <row r="95">
      <c r="A95" s="37" t="s">
        <v>52</v>
      </c>
      <c r="B95" s="38"/>
      <c r="C95" s="40">
        <f t="shared" ref="C95:M95" si="24">SUM(C96:C98)</f>
        <v>2</v>
      </c>
      <c r="D95" s="40">
        <f t="shared" si="24"/>
        <v>2</v>
      </c>
      <c r="E95" s="40">
        <f t="shared" si="24"/>
        <v>3</v>
      </c>
      <c r="F95" s="40">
        <f t="shared" si="24"/>
        <v>2</v>
      </c>
      <c r="G95" s="40">
        <f t="shared" si="24"/>
        <v>2</v>
      </c>
      <c r="H95" s="40">
        <f t="shared" si="24"/>
        <v>3</v>
      </c>
      <c r="I95" s="40">
        <f t="shared" si="24"/>
        <v>0</v>
      </c>
      <c r="J95" s="40">
        <f t="shared" si="24"/>
        <v>0</v>
      </c>
      <c r="K95" s="40">
        <f t="shared" si="24"/>
        <v>0</v>
      </c>
      <c r="L95" s="40">
        <f t="shared" si="24"/>
        <v>0</v>
      </c>
      <c r="M95" s="40">
        <f t="shared" si="24"/>
        <v>0</v>
      </c>
    </row>
    <row r="96">
      <c r="A96" s="43"/>
      <c r="B96" s="38" t="s">
        <v>55</v>
      </c>
      <c r="C96" s="46">
        <f>IFS(Mapping!C94="I", 1, Mapping!C94="P", 2, Mapping!C94="D", 3, TRUE, "")</f>
        <v>2</v>
      </c>
      <c r="D96" s="46" t="str">
        <f>IFS(Mapping!D94="I", 1, Mapping!D94="P", 2, Mapping!D94="D", 3, TRUE, "")</f>
        <v/>
      </c>
      <c r="E96" s="46" t="str">
        <f>IFS(Mapping!E94="I", 1, Mapping!E94="P", 2, Mapping!E94="D", 3, TRUE, "")</f>
        <v/>
      </c>
      <c r="F96" s="46">
        <f>IFS(Mapping!F94="I", 1, Mapping!F94="P", 2, Mapping!F94="D", 3, TRUE, "")</f>
        <v>2</v>
      </c>
      <c r="G96" s="46" t="str">
        <f>IFS(Mapping!G94="I", 1, Mapping!G94="P", 2, Mapping!G94="D", 3, TRUE, "")</f>
        <v/>
      </c>
      <c r="H96" s="46" t="str">
        <f>IFS(Mapping!H94="I", 1, Mapping!H94="P", 2, Mapping!H94="D", 3, TRUE, "")</f>
        <v/>
      </c>
      <c r="I96" s="46" t="str">
        <f>IFS(Mapping!I94="I", 1, Mapping!I94="P", 2, Mapping!I94="D", 3, TRUE, "")</f>
        <v/>
      </c>
      <c r="J96" s="46" t="str">
        <f>IFS(Mapping!J94="I", 1, Mapping!J94="P", 2, Mapping!J94="D", 3, TRUE, "")</f>
        <v/>
      </c>
      <c r="K96" s="46" t="str">
        <f>IFS(Mapping!K94="I", 1, Mapping!K94="P", 2, Mapping!K94="D", 3, TRUE, "")</f>
        <v/>
      </c>
      <c r="L96" s="46" t="str">
        <f>IFS(Mapping!L94="I", 1, Mapping!L94="P", 2, Mapping!L94="D", 3, TRUE, "")</f>
        <v/>
      </c>
      <c r="M96" s="46" t="str">
        <f>IFS(Mapping!M94="I", 1, Mapping!M94="P", 2, Mapping!M94="D", 3, TRUE, "")</f>
        <v/>
      </c>
    </row>
    <row r="97">
      <c r="A97" s="43"/>
      <c r="B97" s="19" t="s">
        <v>61</v>
      </c>
      <c r="C97" s="49" t="str">
        <f>IFS(Mapping!C95="I", 1, Mapping!C95="P", 2, Mapping!C95="D", 3, TRUE, "")</f>
        <v/>
      </c>
      <c r="D97" s="49">
        <f>IFS(Mapping!D95="I", 1, Mapping!D95="P", 2, Mapping!D95="D", 3, TRUE, "")</f>
        <v>2</v>
      </c>
      <c r="E97" s="49" t="str">
        <f>IFS(Mapping!E95="I", 1, Mapping!E95="P", 2, Mapping!E95="D", 3, TRUE, "")</f>
        <v/>
      </c>
      <c r="F97" s="49" t="str">
        <f>IFS(Mapping!F95="I", 1, Mapping!F95="P", 2, Mapping!F95="D", 3, TRUE, "")</f>
        <v/>
      </c>
      <c r="G97" s="49">
        <f>IFS(Mapping!G95="I", 1, Mapping!G95="P", 2, Mapping!G95="D", 3, TRUE, "")</f>
        <v>2</v>
      </c>
      <c r="H97" s="49" t="str">
        <f>IFS(Mapping!H95="I", 1, Mapping!H95="P", 2, Mapping!H95="D", 3, TRUE, "")</f>
        <v/>
      </c>
      <c r="I97" s="49" t="str">
        <f>IFS(Mapping!I95="I", 1, Mapping!I95="P", 2, Mapping!I95="D", 3, TRUE, "")</f>
        <v/>
      </c>
      <c r="J97" s="49" t="str">
        <f>IFS(Mapping!J95="I", 1, Mapping!J95="P", 2, Mapping!J95="D", 3, TRUE, "")</f>
        <v/>
      </c>
      <c r="K97" s="49" t="str">
        <f>IFS(Mapping!K95="I", 1, Mapping!K95="P", 2, Mapping!K95="D", 3, TRUE, "")</f>
        <v/>
      </c>
      <c r="L97" s="49" t="str">
        <f>IFS(Mapping!L95="I", 1, Mapping!L95="P", 2, Mapping!L95="D", 3, TRUE, "")</f>
        <v/>
      </c>
      <c r="M97" s="49" t="str">
        <f>IFS(Mapping!M95="I", 1, Mapping!M95="P", 2, Mapping!M95="D", 3, TRUE, "")</f>
        <v/>
      </c>
    </row>
    <row r="98">
      <c r="A98" s="55"/>
      <c r="B98" s="56" t="s">
        <v>65</v>
      </c>
      <c r="C98" s="57" t="str">
        <f>IFS(Mapping!C96="I", 1, Mapping!C96="P", 2, Mapping!C96="D", 3, TRUE, "")</f>
        <v/>
      </c>
      <c r="D98" s="57" t="str">
        <f>IFS(Mapping!D96="I", 1, Mapping!D96="P", 2, Mapping!D96="D", 3, TRUE, "")</f>
        <v/>
      </c>
      <c r="E98" s="57">
        <f>IFS(Mapping!E96="I", 1, Mapping!E96="P", 2, Mapping!E96="D", 3, TRUE, "")</f>
        <v>3</v>
      </c>
      <c r="F98" s="57" t="str">
        <f>IFS(Mapping!F96="I", 1, Mapping!F96="P", 2, Mapping!F96="D", 3, TRUE, "")</f>
        <v/>
      </c>
      <c r="G98" s="57" t="str">
        <f>IFS(Mapping!G96="I", 1, Mapping!G96="P", 2, Mapping!G96="D", 3, TRUE, "")</f>
        <v/>
      </c>
      <c r="H98" s="57">
        <f>IFS(Mapping!H96="I", 1, Mapping!H96="P", 2, Mapping!H96="D", 3, TRUE, "")</f>
        <v>3</v>
      </c>
      <c r="I98" s="57" t="str">
        <f>IFS(Mapping!I96="I", 1, Mapping!I96="P", 2, Mapping!I96="D", 3, TRUE, "")</f>
        <v/>
      </c>
      <c r="J98" s="57" t="str">
        <f>IFS(Mapping!J96="I", 1, Mapping!J96="P", 2, Mapping!J96="D", 3, TRUE, "")</f>
        <v/>
      </c>
      <c r="K98" s="57" t="str">
        <f>IFS(Mapping!K96="I", 1, Mapping!K96="P", 2, Mapping!K96="D", 3, TRUE, "")</f>
        <v/>
      </c>
      <c r="L98" s="57" t="str">
        <f>IFS(Mapping!L96="I", 1, Mapping!L96="P", 2, Mapping!L96="D", 3, TRUE, "")</f>
        <v/>
      </c>
      <c r="M98" s="57" t="str">
        <f>IFS(Mapping!M96="I", 1, Mapping!M96="P", 2, Mapping!M96="D", 3, TRUE, "")</f>
        <v/>
      </c>
    </row>
    <row r="99">
      <c r="A99" s="37" t="s">
        <v>54</v>
      </c>
      <c r="B99" s="38"/>
      <c r="C99" s="40">
        <f t="shared" ref="C99:M99" si="25">SUM(C100:C102)</f>
        <v>2</v>
      </c>
      <c r="D99" s="40">
        <f t="shared" si="25"/>
        <v>2</v>
      </c>
      <c r="E99" s="40">
        <f t="shared" si="25"/>
        <v>6</v>
      </c>
      <c r="F99" s="40">
        <f t="shared" si="25"/>
        <v>2</v>
      </c>
      <c r="G99" s="40">
        <f t="shared" si="25"/>
        <v>2</v>
      </c>
      <c r="H99" s="40">
        <f t="shared" si="25"/>
        <v>3</v>
      </c>
      <c r="I99" s="40">
        <f t="shared" si="25"/>
        <v>0</v>
      </c>
      <c r="J99" s="40">
        <f t="shared" si="25"/>
        <v>0</v>
      </c>
      <c r="K99" s="40">
        <f t="shared" si="25"/>
        <v>0</v>
      </c>
      <c r="L99" s="40">
        <f t="shared" si="25"/>
        <v>0</v>
      </c>
      <c r="M99" s="40">
        <f t="shared" si="25"/>
        <v>0</v>
      </c>
    </row>
    <row r="100">
      <c r="A100" s="43"/>
      <c r="B100" s="38" t="s">
        <v>55</v>
      </c>
      <c r="C100" s="46">
        <f>IFS(Mapping!C98="I", 1, Mapping!C98="P", 2, Mapping!C98="D", 3, TRUE, "")</f>
        <v>2</v>
      </c>
      <c r="D100" s="46" t="str">
        <f>IFS(Mapping!D98="I", 1, Mapping!D98="P", 2, Mapping!D98="D", 3, TRUE, "")</f>
        <v/>
      </c>
      <c r="E100" s="46">
        <f>IFS(Mapping!E98="I", 1, Mapping!E98="P", 2, Mapping!E98="D", 3, TRUE, "")</f>
        <v>3</v>
      </c>
      <c r="F100" s="46">
        <f>IFS(Mapping!F98="I", 1, Mapping!F98="P", 2, Mapping!F98="D", 3, TRUE, "")</f>
        <v>2</v>
      </c>
      <c r="G100" s="46" t="str">
        <f>IFS(Mapping!G98="I", 1, Mapping!G98="P", 2, Mapping!G98="D", 3, TRUE, "")</f>
        <v/>
      </c>
      <c r="H100" s="46" t="str">
        <f>IFS(Mapping!H98="I", 1, Mapping!H98="P", 2, Mapping!H98="D", 3, TRUE, "")</f>
        <v/>
      </c>
      <c r="I100" s="46" t="str">
        <f>IFS(Mapping!I98="I", 1, Mapping!I98="P", 2, Mapping!I98="D", 3, TRUE, "")</f>
        <v/>
      </c>
      <c r="J100" s="46" t="str">
        <f>IFS(Mapping!J98="I", 1, Mapping!J98="P", 2, Mapping!J98="D", 3, TRUE, "")</f>
        <v/>
      </c>
      <c r="K100" s="46" t="str">
        <f>IFS(Mapping!K98="I", 1, Mapping!K98="P", 2, Mapping!K98="D", 3, TRUE, "")</f>
        <v/>
      </c>
      <c r="L100" s="46" t="str">
        <f>IFS(Mapping!L98="I", 1, Mapping!L98="P", 2, Mapping!L98="D", 3, TRUE, "")</f>
        <v/>
      </c>
      <c r="M100" s="46" t="str">
        <f>IFS(Mapping!M98="I", 1, Mapping!M98="P", 2, Mapping!M98="D", 3, TRUE, "")</f>
        <v/>
      </c>
    </row>
    <row r="101">
      <c r="A101" s="43"/>
      <c r="B101" s="19" t="s">
        <v>61</v>
      </c>
      <c r="C101" s="49" t="str">
        <f>IFS(Mapping!C99="I", 1, Mapping!C99="P", 2, Mapping!C99="D", 3, TRUE, "")</f>
        <v/>
      </c>
      <c r="D101" s="49">
        <f>IFS(Mapping!D99="I", 1, Mapping!D99="P", 2, Mapping!D99="D", 3, TRUE, "")</f>
        <v>2</v>
      </c>
      <c r="E101" s="49" t="str">
        <f>IFS(Mapping!E99="I", 1, Mapping!E99="P", 2, Mapping!E99="D", 3, TRUE, "")</f>
        <v/>
      </c>
      <c r="F101" s="49" t="str">
        <f>IFS(Mapping!F99="I", 1, Mapping!F99="P", 2, Mapping!F99="D", 3, TRUE, "")</f>
        <v/>
      </c>
      <c r="G101" s="49">
        <f>IFS(Mapping!G99="I", 1, Mapping!G99="P", 2, Mapping!G99="D", 3, TRUE, "")</f>
        <v>2</v>
      </c>
      <c r="H101" s="49" t="str">
        <f>IFS(Mapping!H99="I", 1, Mapping!H99="P", 2, Mapping!H99="D", 3, TRUE, "")</f>
        <v/>
      </c>
      <c r="I101" s="49" t="str">
        <f>IFS(Mapping!I99="I", 1, Mapping!I99="P", 2, Mapping!I99="D", 3, TRUE, "")</f>
        <v/>
      </c>
      <c r="J101" s="49" t="str">
        <f>IFS(Mapping!J99="I", 1, Mapping!J99="P", 2, Mapping!J99="D", 3, TRUE, "")</f>
        <v/>
      </c>
      <c r="K101" s="49" t="str">
        <f>IFS(Mapping!K99="I", 1, Mapping!K99="P", 2, Mapping!K99="D", 3, TRUE, "")</f>
        <v/>
      </c>
      <c r="L101" s="49" t="str">
        <f>IFS(Mapping!L99="I", 1, Mapping!L99="P", 2, Mapping!L99="D", 3, TRUE, "")</f>
        <v/>
      </c>
      <c r="M101" s="49" t="str">
        <f>IFS(Mapping!M99="I", 1, Mapping!M99="P", 2, Mapping!M99="D", 3, TRUE, "")</f>
        <v/>
      </c>
    </row>
    <row r="102">
      <c r="A102" s="55"/>
      <c r="B102" s="56" t="s">
        <v>65</v>
      </c>
      <c r="C102" s="57" t="str">
        <f>IFS(Mapping!C100="I", 1, Mapping!C100="P", 2, Mapping!C100="D", 3, TRUE, "")</f>
        <v/>
      </c>
      <c r="D102" s="57" t="str">
        <f>IFS(Mapping!D100="I", 1, Mapping!D100="P", 2, Mapping!D100="D", 3, TRUE, "")</f>
        <v/>
      </c>
      <c r="E102" s="57">
        <f>IFS(Mapping!E100="I", 1, Mapping!E100="P", 2, Mapping!E100="D", 3, TRUE, "")</f>
        <v>3</v>
      </c>
      <c r="F102" s="57" t="str">
        <f>IFS(Mapping!F100="I", 1, Mapping!F100="P", 2, Mapping!F100="D", 3, TRUE, "")</f>
        <v/>
      </c>
      <c r="G102" s="57" t="str">
        <f>IFS(Mapping!G100="I", 1, Mapping!G100="P", 2, Mapping!G100="D", 3, TRUE, "")</f>
        <v/>
      </c>
      <c r="H102" s="57">
        <f>IFS(Mapping!H100="I", 1, Mapping!H100="P", 2, Mapping!H100="D", 3, TRUE, "")</f>
        <v>3</v>
      </c>
      <c r="I102" s="57" t="str">
        <f>IFS(Mapping!I100="I", 1, Mapping!I100="P", 2, Mapping!I100="D", 3, TRUE, "")</f>
        <v/>
      </c>
      <c r="J102" s="57" t="str">
        <f>IFS(Mapping!J100="I", 1, Mapping!J100="P", 2, Mapping!J100="D", 3, TRUE, "")</f>
        <v/>
      </c>
      <c r="K102" s="57" t="str">
        <f>IFS(Mapping!K100="I", 1, Mapping!K100="P", 2, Mapping!K100="D", 3, TRUE, "")</f>
        <v/>
      </c>
      <c r="L102" s="57" t="str">
        <f>IFS(Mapping!L100="I", 1, Mapping!L100="P", 2, Mapping!L100="D", 3, TRUE, "")</f>
        <v/>
      </c>
      <c r="M102" s="57" t="str">
        <f>IFS(Mapping!M100="I", 1, Mapping!M100="P", 2, Mapping!M100="D", 3, TRUE, "")</f>
        <v/>
      </c>
    </row>
    <row r="103">
      <c r="A103" s="37" t="s">
        <v>56</v>
      </c>
      <c r="B103" s="38"/>
      <c r="C103" s="40">
        <f t="shared" ref="C103:M103" si="26">SUM(C104:C106)</f>
        <v>0</v>
      </c>
      <c r="D103" s="40">
        <f t="shared" si="26"/>
        <v>0</v>
      </c>
      <c r="E103" s="40">
        <f t="shared" si="26"/>
        <v>0</v>
      </c>
      <c r="F103" s="40">
        <f t="shared" si="26"/>
        <v>0</v>
      </c>
      <c r="G103" s="40">
        <f t="shared" si="26"/>
        <v>0</v>
      </c>
      <c r="H103" s="40">
        <f t="shared" si="26"/>
        <v>0</v>
      </c>
      <c r="I103" s="40">
        <f t="shared" si="26"/>
        <v>3</v>
      </c>
      <c r="J103" s="40">
        <f t="shared" si="26"/>
        <v>3</v>
      </c>
      <c r="K103" s="40">
        <f t="shared" si="26"/>
        <v>3</v>
      </c>
      <c r="L103" s="40">
        <f t="shared" si="26"/>
        <v>3</v>
      </c>
      <c r="M103" s="40">
        <f t="shared" si="26"/>
        <v>3</v>
      </c>
    </row>
    <row r="104">
      <c r="A104" s="43"/>
      <c r="B104" s="38" t="s">
        <v>55</v>
      </c>
      <c r="C104" s="46" t="str">
        <f>IFS(Mapping!C102="I", 1, Mapping!C102="P", 2, Mapping!C102="D", 3, TRUE, "")</f>
        <v/>
      </c>
      <c r="D104" s="46" t="str">
        <f>IFS(Mapping!D102="I", 1, Mapping!D102="P", 2, Mapping!D102="D", 3, TRUE, "")</f>
        <v/>
      </c>
      <c r="E104" s="46" t="str">
        <f>IFS(Mapping!E102="I", 1, Mapping!E102="P", 2, Mapping!E102="D", 3, TRUE, "")</f>
        <v/>
      </c>
      <c r="F104" s="46" t="str">
        <f>IFS(Mapping!F102="I", 1, Mapping!F102="P", 2, Mapping!F102="D", 3, TRUE, "")</f>
        <v/>
      </c>
      <c r="G104" s="46" t="str">
        <f>IFS(Mapping!G102="I", 1, Mapping!G102="P", 2, Mapping!G102="D", 3, TRUE, "")</f>
        <v/>
      </c>
      <c r="H104" s="46" t="str">
        <f>IFS(Mapping!H102="I", 1, Mapping!H102="P", 2, Mapping!H102="D", 3, TRUE, "")</f>
        <v/>
      </c>
      <c r="I104" s="46" t="str">
        <f>IFS(Mapping!I102="I", 1, Mapping!I102="P", 2, Mapping!I102="D", 3, TRUE, "")</f>
        <v/>
      </c>
      <c r="J104" s="46">
        <f>IFS(Mapping!J102="I", 1, Mapping!J102="P", 2, Mapping!J102="D", 3, TRUE, "")</f>
        <v>3</v>
      </c>
      <c r="K104" s="46" t="str">
        <f>IFS(Mapping!K102="I", 1, Mapping!K102="P", 2, Mapping!K102="D", 3, TRUE, "")</f>
        <v/>
      </c>
      <c r="L104" s="46" t="str">
        <f>IFS(Mapping!L102="I", 1, Mapping!L102="P", 2, Mapping!L102="D", 3, TRUE, "")</f>
        <v/>
      </c>
      <c r="M104" s="46" t="str">
        <f>IFS(Mapping!M102="I", 1, Mapping!M102="P", 2, Mapping!M102="D", 3, TRUE, "")</f>
        <v/>
      </c>
    </row>
    <row r="105">
      <c r="A105" s="43"/>
      <c r="B105" s="19" t="s">
        <v>61</v>
      </c>
      <c r="C105" s="49" t="str">
        <f>IFS(Mapping!C103="I", 1, Mapping!C103="P", 2, Mapping!C103="D", 3, TRUE, "")</f>
        <v/>
      </c>
      <c r="D105" s="49" t="str">
        <f>IFS(Mapping!D103="I", 1, Mapping!D103="P", 2, Mapping!D103="D", 3, TRUE, "")</f>
        <v/>
      </c>
      <c r="E105" s="49" t="str">
        <f>IFS(Mapping!E103="I", 1, Mapping!E103="P", 2, Mapping!E103="D", 3, TRUE, "")</f>
        <v/>
      </c>
      <c r="F105" s="49" t="str">
        <f>IFS(Mapping!F103="I", 1, Mapping!F103="P", 2, Mapping!F103="D", 3, TRUE, "")</f>
        <v/>
      </c>
      <c r="G105" s="49" t="str">
        <f>IFS(Mapping!G103="I", 1, Mapping!G103="P", 2, Mapping!G103="D", 3, TRUE, "")</f>
        <v/>
      </c>
      <c r="H105" s="49" t="str">
        <f>IFS(Mapping!H103="I", 1, Mapping!H103="P", 2, Mapping!H103="D", 3, TRUE, "")</f>
        <v/>
      </c>
      <c r="I105" s="49" t="str">
        <f>IFS(Mapping!I103="I", 1, Mapping!I103="P", 2, Mapping!I103="D", 3, TRUE, "")</f>
        <v/>
      </c>
      <c r="J105" s="49" t="str">
        <f>IFS(Mapping!J103="I", 1, Mapping!J103="P", 2, Mapping!J103="D", 3, TRUE, "")</f>
        <v/>
      </c>
      <c r="K105" s="49">
        <f>IFS(Mapping!K103="I", 1, Mapping!K103="P", 2, Mapping!K103="D", 3, TRUE, "")</f>
        <v>3</v>
      </c>
      <c r="L105" s="49" t="str">
        <f>IFS(Mapping!L103="I", 1, Mapping!L103="P", 2, Mapping!L103="D", 3, TRUE, "")</f>
        <v/>
      </c>
      <c r="M105" s="49" t="str">
        <f>IFS(Mapping!M103="I", 1, Mapping!M103="P", 2, Mapping!M103="D", 3, TRUE, "")</f>
        <v/>
      </c>
    </row>
    <row r="106">
      <c r="A106" s="55"/>
      <c r="B106" s="56" t="s">
        <v>65</v>
      </c>
      <c r="C106" s="57" t="str">
        <f>IFS(Mapping!C104="I", 1, Mapping!C104="P", 2, Mapping!C104="D", 3, TRUE, "")</f>
        <v/>
      </c>
      <c r="D106" s="57" t="str">
        <f>IFS(Mapping!D104="I", 1, Mapping!D104="P", 2, Mapping!D104="D", 3, TRUE, "")</f>
        <v/>
      </c>
      <c r="E106" s="57" t="str">
        <f>IFS(Mapping!E104="I", 1, Mapping!E104="P", 2, Mapping!E104="D", 3, TRUE, "")</f>
        <v/>
      </c>
      <c r="F106" s="57" t="str">
        <f>IFS(Mapping!F104="I", 1, Mapping!F104="P", 2, Mapping!F104="D", 3, TRUE, "")</f>
        <v/>
      </c>
      <c r="G106" s="57" t="str">
        <f>IFS(Mapping!G104="I", 1, Mapping!G104="P", 2, Mapping!G104="D", 3, TRUE, "")</f>
        <v/>
      </c>
      <c r="H106" s="57" t="str">
        <f>IFS(Mapping!H104="I", 1, Mapping!H104="P", 2, Mapping!H104="D", 3, TRUE, "")</f>
        <v/>
      </c>
      <c r="I106" s="57">
        <f>IFS(Mapping!I104="I", 1, Mapping!I104="P", 2, Mapping!I104="D", 3, TRUE, "")</f>
        <v>3</v>
      </c>
      <c r="J106" s="57" t="str">
        <f>IFS(Mapping!J104="I", 1, Mapping!J104="P", 2, Mapping!J104="D", 3, TRUE, "")</f>
        <v/>
      </c>
      <c r="K106" s="57" t="str">
        <f>IFS(Mapping!K104="I", 1, Mapping!K104="P", 2, Mapping!K104="D", 3, TRUE, "")</f>
        <v/>
      </c>
      <c r="L106" s="57">
        <f>IFS(Mapping!L104="I", 1, Mapping!L104="P", 2, Mapping!L104="D", 3, TRUE, "")</f>
        <v>3</v>
      </c>
      <c r="M106" s="57">
        <f>IFS(Mapping!M104="I", 1, Mapping!M104="P", 2, Mapping!M104="D", 3, TRUE, "")</f>
        <v>3</v>
      </c>
    </row>
    <row r="107">
      <c r="A107" s="37" t="s">
        <v>58</v>
      </c>
      <c r="B107" s="38"/>
      <c r="C107" s="40">
        <f t="shared" ref="C107:M107" si="27">SUM(C108:C110)</f>
        <v>9</v>
      </c>
      <c r="D107" s="40">
        <f t="shared" si="27"/>
        <v>9</v>
      </c>
      <c r="E107" s="40">
        <f t="shared" si="27"/>
        <v>9</v>
      </c>
      <c r="F107" s="40">
        <f t="shared" si="27"/>
        <v>9</v>
      </c>
      <c r="G107" s="40">
        <f t="shared" si="27"/>
        <v>9</v>
      </c>
      <c r="H107" s="40">
        <f t="shared" si="27"/>
        <v>9</v>
      </c>
      <c r="I107" s="40">
        <f t="shared" si="27"/>
        <v>9</v>
      </c>
      <c r="J107" s="40">
        <f t="shared" si="27"/>
        <v>9</v>
      </c>
      <c r="K107" s="40">
        <f t="shared" si="27"/>
        <v>9</v>
      </c>
      <c r="L107" s="40">
        <f t="shared" si="27"/>
        <v>9</v>
      </c>
      <c r="M107" s="40">
        <f t="shared" si="27"/>
        <v>9</v>
      </c>
    </row>
    <row r="108">
      <c r="A108" s="43"/>
      <c r="B108" s="38" t="s">
        <v>55</v>
      </c>
      <c r="C108" s="46">
        <f>IFS(Mapping!C106="I", 1, Mapping!C106="P", 2, Mapping!C106="D", 3, TRUE, "")</f>
        <v>3</v>
      </c>
      <c r="D108" s="46">
        <f>IFS(Mapping!D106="I", 1, Mapping!D106="P", 2, Mapping!D106="D", 3, TRUE, "")</f>
        <v>3</v>
      </c>
      <c r="E108" s="46">
        <f>IFS(Mapping!E106="I", 1, Mapping!E106="P", 2, Mapping!E106="D", 3, TRUE, "")</f>
        <v>3</v>
      </c>
      <c r="F108" s="46">
        <f>IFS(Mapping!F106="I", 1, Mapping!F106="P", 2, Mapping!F106="D", 3, TRUE, "")</f>
        <v>3</v>
      </c>
      <c r="G108" s="46">
        <f>IFS(Mapping!G106="I", 1, Mapping!G106="P", 2, Mapping!G106="D", 3, TRUE, "")</f>
        <v>3</v>
      </c>
      <c r="H108" s="46">
        <f>IFS(Mapping!H106="I", 1, Mapping!H106="P", 2, Mapping!H106="D", 3, TRUE, "")</f>
        <v>3</v>
      </c>
      <c r="I108" s="46">
        <f>IFS(Mapping!I106="I", 1, Mapping!I106="P", 2, Mapping!I106="D", 3, TRUE, "")</f>
        <v>3</v>
      </c>
      <c r="J108" s="46">
        <f>IFS(Mapping!J106="I", 1, Mapping!J106="P", 2, Mapping!J106="D", 3, TRUE, "")</f>
        <v>3</v>
      </c>
      <c r="K108" s="46">
        <f>IFS(Mapping!K106="I", 1, Mapping!K106="P", 2, Mapping!K106="D", 3, TRUE, "")</f>
        <v>3</v>
      </c>
      <c r="L108" s="46">
        <f>IFS(Mapping!L106="I", 1, Mapping!L106="P", 2, Mapping!L106="D", 3, TRUE, "")</f>
        <v>3</v>
      </c>
      <c r="M108" s="46">
        <f>IFS(Mapping!M106="I", 1, Mapping!M106="P", 2, Mapping!M106="D", 3, TRUE, "")</f>
        <v>3</v>
      </c>
    </row>
    <row r="109">
      <c r="A109" s="43"/>
      <c r="B109" s="19" t="s">
        <v>61</v>
      </c>
      <c r="C109" s="49">
        <f>IFS(Mapping!C107="I", 1, Mapping!C107="P", 2, Mapping!C107="D", 3, TRUE, "")</f>
        <v>3</v>
      </c>
      <c r="D109" s="49">
        <f>IFS(Mapping!D107="I", 1, Mapping!D107="P", 2, Mapping!D107="D", 3, TRUE, "")</f>
        <v>3</v>
      </c>
      <c r="E109" s="49">
        <f>IFS(Mapping!E107="I", 1, Mapping!E107="P", 2, Mapping!E107="D", 3, TRUE, "")</f>
        <v>3</v>
      </c>
      <c r="F109" s="49">
        <f>IFS(Mapping!F107="I", 1, Mapping!F107="P", 2, Mapping!F107="D", 3, TRUE, "")</f>
        <v>3</v>
      </c>
      <c r="G109" s="49">
        <f>IFS(Mapping!G107="I", 1, Mapping!G107="P", 2, Mapping!G107="D", 3, TRUE, "")</f>
        <v>3</v>
      </c>
      <c r="H109" s="49">
        <f>IFS(Mapping!H107="I", 1, Mapping!H107="P", 2, Mapping!H107="D", 3, TRUE, "")</f>
        <v>3</v>
      </c>
      <c r="I109" s="49">
        <f>IFS(Mapping!I107="I", 1, Mapping!I107="P", 2, Mapping!I107="D", 3, TRUE, "")</f>
        <v>3</v>
      </c>
      <c r="J109" s="49">
        <f>IFS(Mapping!J107="I", 1, Mapping!J107="P", 2, Mapping!J107="D", 3, TRUE, "")</f>
        <v>3</v>
      </c>
      <c r="K109" s="49">
        <f>IFS(Mapping!K107="I", 1, Mapping!K107="P", 2, Mapping!K107="D", 3, TRUE, "")</f>
        <v>3</v>
      </c>
      <c r="L109" s="49">
        <f>IFS(Mapping!L107="I", 1, Mapping!L107="P", 2, Mapping!L107="D", 3, TRUE, "")</f>
        <v>3</v>
      </c>
      <c r="M109" s="49">
        <f>IFS(Mapping!M107="I", 1, Mapping!M107="P", 2, Mapping!M107="D", 3, TRUE, "")</f>
        <v>3</v>
      </c>
    </row>
    <row r="110">
      <c r="A110" s="55"/>
      <c r="B110" s="56" t="s">
        <v>65</v>
      </c>
      <c r="C110" s="57">
        <f>IFS(Mapping!C108="I", 1, Mapping!C108="P", 2, Mapping!C108="D", 3, TRUE, "")</f>
        <v>3</v>
      </c>
      <c r="D110" s="57">
        <f>IFS(Mapping!D108="I", 1, Mapping!D108="P", 2, Mapping!D108="D", 3, TRUE, "")</f>
        <v>3</v>
      </c>
      <c r="E110" s="57">
        <f>IFS(Mapping!E108="I", 1, Mapping!E108="P", 2, Mapping!E108="D", 3, TRUE, "")</f>
        <v>3</v>
      </c>
      <c r="F110" s="57">
        <f>IFS(Mapping!F108="I", 1, Mapping!F108="P", 2, Mapping!F108="D", 3, TRUE, "")</f>
        <v>3</v>
      </c>
      <c r="G110" s="57">
        <f>IFS(Mapping!G108="I", 1, Mapping!G108="P", 2, Mapping!G108="D", 3, TRUE, "")</f>
        <v>3</v>
      </c>
      <c r="H110" s="57">
        <f>IFS(Mapping!H108="I", 1, Mapping!H108="P", 2, Mapping!H108="D", 3, TRUE, "")</f>
        <v>3</v>
      </c>
      <c r="I110" s="57">
        <f>IFS(Mapping!I108="I", 1, Mapping!I108="P", 2, Mapping!I108="D", 3, TRUE, "")</f>
        <v>3</v>
      </c>
      <c r="J110" s="57">
        <f>IFS(Mapping!J108="I", 1, Mapping!J108="P", 2, Mapping!J108="D", 3, TRUE, "")</f>
        <v>3</v>
      </c>
      <c r="K110" s="57">
        <f>IFS(Mapping!K108="I", 1, Mapping!K108="P", 2, Mapping!K108="D", 3, TRUE, "")</f>
        <v>3</v>
      </c>
      <c r="L110" s="57">
        <f>IFS(Mapping!L108="I", 1, Mapping!L108="P", 2, Mapping!L108="D", 3, TRUE, "")</f>
        <v>3</v>
      </c>
      <c r="M110" s="57">
        <f>IFS(Mapping!M108="I", 1, Mapping!M108="P", 2, Mapping!M108="D", 3, TRUE, "")</f>
        <v>3</v>
      </c>
    </row>
    <row r="111">
      <c r="A111" s="37" t="s">
        <v>59</v>
      </c>
      <c r="B111" s="38"/>
      <c r="C111" s="40">
        <f t="shared" ref="C111:M111" si="28">SUM(C112:C114)</f>
        <v>6</v>
      </c>
      <c r="D111" s="40">
        <f t="shared" si="28"/>
        <v>6</v>
      </c>
      <c r="E111" s="40">
        <f t="shared" si="28"/>
        <v>6</v>
      </c>
      <c r="F111" s="40">
        <f t="shared" si="28"/>
        <v>6</v>
      </c>
      <c r="G111" s="40">
        <f t="shared" si="28"/>
        <v>6</v>
      </c>
      <c r="H111" s="40">
        <f t="shared" si="28"/>
        <v>6</v>
      </c>
      <c r="I111" s="40">
        <f t="shared" si="28"/>
        <v>6</v>
      </c>
      <c r="J111" s="40">
        <f t="shared" si="28"/>
        <v>6</v>
      </c>
      <c r="K111" s="40">
        <f t="shared" si="28"/>
        <v>6</v>
      </c>
      <c r="L111" s="40">
        <f t="shared" si="28"/>
        <v>6</v>
      </c>
      <c r="M111" s="40">
        <f t="shared" si="28"/>
        <v>6</v>
      </c>
    </row>
    <row r="112">
      <c r="A112" s="43"/>
      <c r="B112" s="38" t="s">
        <v>55</v>
      </c>
      <c r="C112" s="46">
        <f>IFS(Mapping!C110="I", 1, Mapping!C110="P", 2, Mapping!C110="D", 3, TRUE, "")</f>
        <v>2</v>
      </c>
      <c r="D112" s="46">
        <f>IFS(Mapping!D110="I", 1, Mapping!D110="P", 2, Mapping!D110="D", 3, TRUE, "")</f>
        <v>2</v>
      </c>
      <c r="E112" s="46">
        <f>IFS(Mapping!E110="I", 1, Mapping!E110="P", 2, Mapping!E110="D", 3, TRUE, "")</f>
        <v>2</v>
      </c>
      <c r="F112" s="46">
        <f>IFS(Mapping!F110="I", 1, Mapping!F110="P", 2, Mapping!F110="D", 3, TRUE, "")</f>
        <v>2</v>
      </c>
      <c r="G112" s="46">
        <f>IFS(Mapping!G110="I", 1, Mapping!G110="P", 2, Mapping!G110="D", 3, TRUE, "")</f>
        <v>2</v>
      </c>
      <c r="H112" s="46">
        <f>IFS(Mapping!H110="I", 1, Mapping!H110="P", 2, Mapping!H110="D", 3, TRUE, "")</f>
        <v>2</v>
      </c>
      <c r="I112" s="46">
        <f>IFS(Mapping!I110="I", 1, Mapping!I110="P", 2, Mapping!I110="D", 3, TRUE, "")</f>
        <v>2</v>
      </c>
      <c r="J112" s="46">
        <f>IFS(Mapping!J110="I", 1, Mapping!J110="P", 2, Mapping!J110="D", 3, TRUE, "")</f>
        <v>2</v>
      </c>
      <c r="K112" s="46">
        <f>IFS(Mapping!K110="I", 1, Mapping!K110="P", 2, Mapping!K110="D", 3, TRUE, "")</f>
        <v>2</v>
      </c>
      <c r="L112" s="46">
        <f>IFS(Mapping!L110="I", 1, Mapping!L110="P", 2, Mapping!L110="D", 3, TRUE, "")</f>
        <v>2</v>
      </c>
      <c r="M112" s="46">
        <f>IFS(Mapping!M110="I", 1, Mapping!M110="P", 2, Mapping!M110="D", 3, TRUE, "")</f>
        <v>2</v>
      </c>
    </row>
    <row r="113">
      <c r="A113" s="43"/>
      <c r="B113" s="19" t="s">
        <v>61</v>
      </c>
      <c r="C113" s="49">
        <f>IFS(Mapping!C111="I", 1, Mapping!C111="P", 2, Mapping!C111="D", 3, TRUE, "")</f>
        <v>2</v>
      </c>
      <c r="D113" s="49">
        <f>IFS(Mapping!D111="I", 1, Mapping!D111="P", 2, Mapping!D111="D", 3, TRUE, "")</f>
        <v>2</v>
      </c>
      <c r="E113" s="49">
        <f>IFS(Mapping!E111="I", 1, Mapping!E111="P", 2, Mapping!E111="D", 3, TRUE, "")</f>
        <v>2</v>
      </c>
      <c r="F113" s="49">
        <f>IFS(Mapping!F111="I", 1, Mapping!F111="P", 2, Mapping!F111="D", 3, TRUE, "")</f>
        <v>2</v>
      </c>
      <c r="G113" s="49">
        <f>IFS(Mapping!G111="I", 1, Mapping!G111="P", 2, Mapping!G111="D", 3, TRUE, "")</f>
        <v>2</v>
      </c>
      <c r="H113" s="49">
        <f>IFS(Mapping!H111="I", 1, Mapping!H111="P", 2, Mapping!H111="D", 3, TRUE, "")</f>
        <v>2</v>
      </c>
      <c r="I113" s="49">
        <f>IFS(Mapping!I111="I", 1, Mapping!I111="P", 2, Mapping!I111="D", 3, TRUE, "")</f>
        <v>2</v>
      </c>
      <c r="J113" s="49">
        <f>IFS(Mapping!J111="I", 1, Mapping!J111="P", 2, Mapping!J111="D", 3, TRUE, "")</f>
        <v>2</v>
      </c>
      <c r="K113" s="49">
        <f>IFS(Mapping!K111="I", 1, Mapping!K111="P", 2, Mapping!K111="D", 3, TRUE, "")</f>
        <v>2</v>
      </c>
      <c r="L113" s="49">
        <f>IFS(Mapping!L111="I", 1, Mapping!L111="P", 2, Mapping!L111="D", 3, TRUE, "")</f>
        <v>2</v>
      </c>
      <c r="M113" s="49">
        <f>IFS(Mapping!M111="I", 1, Mapping!M111="P", 2, Mapping!M111="D", 3, TRUE, "")</f>
        <v>2</v>
      </c>
    </row>
    <row r="114">
      <c r="A114" s="55"/>
      <c r="B114" s="56" t="s">
        <v>65</v>
      </c>
      <c r="C114" s="57">
        <f>IFS(Mapping!C112="I", 1, Mapping!C112="P", 2, Mapping!C112="D", 3, TRUE, "")</f>
        <v>2</v>
      </c>
      <c r="D114" s="57">
        <f>IFS(Mapping!D112="I", 1, Mapping!D112="P", 2, Mapping!D112="D", 3, TRUE, "")</f>
        <v>2</v>
      </c>
      <c r="E114" s="57">
        <f>IFS(Mapping!E112="I", 1, Mapping!E112="P", 2, Mapping!E112="D", 3, TRUE, "")</f>
        <v>2</v>
      </c>
      <c r="F114" s="57">
        <f>IFS(Mapping!F112="I", 1, Mapping!F112="P", 2, Mapping!F112="D", 3, TRUE, "")</f>
        <v>2</v>
      </c>
      <c r="G114" s="57">
        <f>IFS(Mapping!G112="I", 1, Mapping!G112="P", 2, Mapping!G112="D", 3, TRUE, "")</f>
        <v>2</v>
      </c>
      <c r="H114" s="57">
        <f>IFS(Mapping!H112="I", 1, Mapping!H112="P", 2, Mapping!H112="D", 3, TRUE, "")</f>
        <v>2</v>
      </c>
      <c r="I114" s="57">
        <f>IFS(Mapping!I112="I", 1, Mapping!I112="P", 2, Mapping!I112="D", 3, TRUE, "")</f>
        <v>2</v>
      </c>
      <c r="J114" s="57">
        <f>IFS(Mapping!J112="I", 1, Mapping!J112="P", 2, Mapping!J112="D", 3, TRUE, "")</f>
        <v>2</v>
      </c>
      <c r="K114" s="57">
        <f>IFS(Mapping!K112="I", 1, Mapping!K112="P", 2, Mapping!K112="D", 3, TRUE, "")</f>
        <v>2</v>
      </c>
      <c r="L114" s="57">
        <f>IFS(Mapping!L112="I", 1, Mapping!L112="P", 2, Mapping!L112="D", 3, TRUE, "")</f>
        <v>2</v>
      </c>
      <c r="M114" s="57">
        <f>IFS(Mapping!M112="I", 1, Mapping!M112="P", 2, Mapping!M112="D", 3, TRUE, "")</f>
        <v>2</v>
      </c>
    </row>
    <row r="115">
      <c r="A115" s="37" t="s">
        <v>60</v>
      </c>
      <c r="B115" s="38"/>
      <c r="C115" s="40">
        <f t="shared" ref="C115:M115" si="29">SUM(C116:C118)</f>
        <v>9</v>
      </c>
      <c r="D115" s="40">
        <f t="shared" si="29"/>
        <v>9</v>
      </c>
      <c r="E115" s="40">
        <f t="shared" si="29"/>
        <v>9</v>
      </c>
      <c r="F115" s="40">
        <f t="shared" si="29"/>
        <v>9</v>
      </c>
      <c r="G115" s="40">
        <f t="shared" si="29"/>
        <v>9</v>
      </c>
      <c r="H115" s="40">
        <f t="shared" si="29"/>
        <v>9</v>
      </c>
      <c r="I115" s="40">
        <f t="shared" si="29"/>
        <v>9</v>
      </c>
      <c r="J115" s="40">
        <f t="shared" si="29"/>
        <v>9</v>
      </c>
      <c r="K115" s="40">
        <f t="shared" si="29"/>
        <v>9</v>
      </c>
      <c r="L115" s="40">
        <f t="shared" si="29"/>
        <v>9</v>
      </c>
      <c r="M115" s="40">
        <f t="shared" si="29"/>
        <v>9</v>
      </c>
    </row>
    <row r="116">
      <c r="A116" s="43"/>
      <c r="B116" s="38" t="s">
        <v>55</v>
      </c>
      <c r="C116" s="46">
        <f>IFS(Mapping!C114="I", 1, Mapping!C114="P", 2, Mapping!C114="D", 3, TRUE, "")</f>
        <v>3</v>
      </c>
      <c r="D116" s="46">
        <f>IFS(Mapping!D114="I", 1, Mapping!D114="P", 2, Mapping!D114="D", 3, TRUE, "")</f>
        <v>3</v>
      </c>
      <c r="E116" s="46">
        <f>IFS(Mapping!E114="I", 1, Mapping!E114="P", 2, Mapping!E114="D", 3, TRUE, "")</f>
        <v>3</v>
      </c>
      <c r="F116" s="46">
        <f>IFS(Mapping!F114="I", 1, Mapping!F114="P", 2, Mapping!F114="D", 3, TRUE, "")</f>
        <v>3</v>
      </c>
      <c r="G116" s="46">
        <f>IFS(Mapping!G114="I", 1, Mapping!G114="P", 2, Mapping!G114="D", 3, TRUE, "")</f>
        <v>3</v>
      </c>
      <c r="H116" s="46">
        <f>IFS(Mapping!H114="I", 1, Mapping!H114="P", 2, Mapping!H114="D", 3, TRUE, "")</f>
        <v>3</v>
      </c>
      <c r="I116" s="46">
        <f>IFS(Mapping!I114="I", 1, Mapping!I114="P", 2, Mapping!I114="D", 3, TRUE, "")</f>
        <v>3</v>
      </c>
      <c r="J116" s="46">
        <f>IFS(Mapping!J114="I", 1, Mapping!J114="P", 2, Mapping!J114="D", 3, TRUE, "")</f>
        <v>3</v>
      </c>
      <c r="K116" s="46">
        <f>IFS(Mapping!K114="I", 1, Mapping!K114="P", 2, Mapping!K114="D", 3, TRUE, "")</f>
        <v>3</v>
      </c>
      <c r="L116" s="46">
        <f>IFS(Mapping!L114="I", 1, Mapping!L114="P", 2, Mapping!L114="D", 3, TRUE, "")</f>
        <v>3</v>
      </c>
      <c r="M116" s="46">
        <f>IFS(Mapping!M114="I", 1, Mapping!M114="P", 2, Mapping!M114="D", 3, TRUE, "")</f>
        <v>3</v>
      </c>
    </row>
    <row r="117">
      <c r="A117" s="43"/>
      <c r="B117" s="19" t="s">
        <v>61</v>
      </c>
      <c r="C117" s="49">
        <f>IFS(Mapping!C115="I", 1, Mapping!C115="P", 2, Mapping!C115="D", 3, TRUE, "")</f>
        <v>3</v>
      </c>
      <c r="D117" s="49">
        <f>IFS(Mapping!D115="I", 1, Mapping!D115="P", 2, Mapping!D115="D", 3, TRUE, "")</f>
        <v>3</v>
      </c>
      <c r="E117" s="49">
        <f>IFS(Mapping!E115="I", 1, Mapping!E115="P", 2, Mapping!E115="D", 3, TRUE, "")</f>
        <v>3</v>
      </c>
      <c r="F117" s="49">
        <f>IFS(Mapping!F115="I", 1, Mapping!F115="P", 2, Mapping!F115="D", 3, TRUE, "")</f>
        <v>3</v>
      </c>
      <c r="G117" s="49">
        <f>IFS(Mapping!G115="I", 1, Mapping!G115="P", 2, Mapping!G115="D", 3, TRUE, "")</f>
        <v>3</v>
      </c>
      <c r="H117" s="49">
        <f>IFS(Mapping!H115="I", 1, Mapping!H115="P", 2, Mapping!H115="D", 3, TRUE, "")</f>
        <v>3</v>
      </c>
      <c r="I117" s="49">
        <f>IFS(Mapping!I115="I", 1, Mapping!I115="P", 2, Mapping!I115="D", 3, TRUE, "")</f>
        <v>3</v>
      </c>
      <c r="J117" s="49">
        <f>IFS(Mapping!J115="I", 1, Mapping!J115="P", 2, Mapping!J115="D", 3, TRUE, "")</f>
        <v>3</v>
      </c>
      <c r="K117" s="49">
        <f>IFS(Mapping!K115="I", 1, Mapping!K115="P", 2, Mapping!K115="D", 3, TRUE, "")</f>
        <v>3</v>
      </c>
      <c r="L117" s="49">
        <f>IFS(Mapping!L115="I", 1, Mapping!L115="P", 2, Mapping!L115="D", 3, TRUE, "")</f>
        <v>3</v>
      </c>
      <c r="M117" s="49">
        <f>IFS(Mapping!M115="I", 1, Mapping!M115="P", 2, Mapping!M115="D", 3, TRUE, "")</f>
        <v>3</v>
      </c>
    </row>
    <row r="118">
      <c r="A118" s="55"/>
      <c r="B118" s="56" t="s">
        <v>65</v>
      </c>
      <c r="C118" s="57">
        <f>IFS(Mapping!C116="I", 1, Mapping!C116="P", 2, Mapping!C116="D", 3, TRUE, "")</f>
        <v>3</v>
      </c>
      <c r="D118" s="57">
        <f>IFS(Mapping!D116="I", 1, Mapping!D116="P", 2, Mapping!D116="D", 3, TRUE, "")</f>
        <v>3</v>
      </c>
      <c r="E118" s="57">
        <f>IFS(Mapping!E116="I", 1, Mapping!E116="P", 2, Mapping!E116="D", 3, TRUE, "")</f>
        <v>3</v>
      </c>
      <c r="F118" s="57">
        <f>IFS(Mapping!F116="I", 1, Mapping!F116="P", 2, Mapping!F116="D", 3, TRUE, "")</f>
        <v>3</v>
      </c>
      <c r="G118" s="57">
        <f>IFS(Mapping!G116="I", 1, Mapping!G116="P", 2, Mapping!G116="D", 3, TRUE, "")</f>
        <v>3</v>
      </c>
      <c r="H118" s="57">
        <f>IFS(Mapping!H116="I", 1, Mapping!H116="P", 2, Mapping!H116="D", 3, TRUE, "")</f>
        <v>3</v>
      </c>
      <c r="I118" s="57">
        <f>IFS(Mapping!I116="I", 1, Mapping!I116="P", 2, Mapping!I116="D", 3, TRUE, "")</f>
        <v>3</v>
      </c>
      <c r="J118" s="57">
        <f>IFS(Mapping!J116="I", 1, Mapping!J116="P", 2, Mapping!J116="D", 3, TRUE, "")</f>
        <v>3</v>
      </c>
      <c r="K118" s="57">
        <f>IFS(Mapping!K116="I", 1, Mapping!K116="P", 2, Mapping!K116="D", 3, TRUE, "")</f>
        <v>3</v>
      </c>
      <c r="L118" s="57">
        <f>IFS(Mapping!L116="I", 1, Mapping!L116="P", 2, Mapping!L116="D", 3, TRUE, "")</f>
        <v>3</v>
      </c>
      <c r="M118" s="57">
        <f>IFS(Mapping!M116="I", 1, Mapping!M116="P", 2, Mapping!M116="D", 3, TRUE, "")</f>
        <v>3</v>
      </c>
    </row>
    <row r="119">
      <c r="A119" s="14"/>
      <c r="B119" s="15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>
      <c r="A120" s="14"/>
      <c r="B120" s="15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>
      <c r="A121" s="14"/>
      <c r="B121" s="15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>
      <c r="A122" s="14"/>
      <c r="B122" s="15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>
      <c r="A123" s="14"/>
      <c r="B123" s="15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>
      <c r="A124" s="14"/>
      <c r="B124" s="15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>
      <c r="A125" s="14"/>
      <c r="B125" s="15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>
      <c r="A126" s="14"/>
      <c r="B126" s="15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>
      <c r="A127" s="14"/>
      <c r="B127" s="15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>
      <c r="A128" s="14"/>
      <c r="B128" s="15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>
      <c r="A129" s="14"/>
      <c r="B129" s="15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>
      <c r="A130" s="14"/>
      <c r="B130" s="15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>
      <c r="A131" s="14"/>
      <c r="B131" s="15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>
      <c r="A132" s="14"/>
      <c r="B132" s="15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>
      <c r="A133" s="14"/>
      <c r="B133" s="15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>
      <c r="A134" s="14"/>
      <c r="B134" s="15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>
      <c r="A135" s="14"/>
      <c r="B135" s="15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>
      <c r="A136" s="14"/>
      <c r="B136" s="15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>
      <c r="A137" s="14"/>
      <c r="B137" s="15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>
      <c r="A138" s="14"/>
      <c r="B138" s="15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>
      <c r="A139" s="14"/>
      <c r="B139" s="15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>
      <c r="A140" s="14"/>
      <c r="B140" s="15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>
      <c r="A141" s="14"/>
      <c r="B141" s="15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>
      <c r="A142" s="14"/>
      <c r="B142" s="15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>
      <c r="A143" s="14"/>
      <c r="B143" s="15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>
      <c r="A144" s="14"/>
      <c r="B144" s="15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>
      <c r="A145" s="14"/>
      <c r="B145" s="15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>
      <c r="A146" s="14"/>
      <c r="B146" s="15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>
      <c r="A147" s="14"/>
      <c r="B147" s="15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>
      <c r="A148" s="14"/>
      <c r="B148" s="15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>
      <c r="A149" s="14"/>
      <c r="B149" s="15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>
      <c r="A150" s="14"/>
      <c r="B150" s="15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>
      <c r="A151" s="14"/>
      <c r="B151" s="15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>
      <c r="A152" s="14"/>
      <c r="B152" s="15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>
      <c r="A153" s="14"/>
      <c r="B153" s="15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>
      <c r="A154" s="14"/>
      <c r="B154" s="15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>
      <c r="A155" s="14"/>
      <c r="B155" s="15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>
      <c r="A156" s="14"/>
      <c r="B156" s="15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>
      <c r="A157" s="14"/>
      <c r="B157" s="15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>
      <c r="A158" s="14"/>
      <c r="B158" s="15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>
      <c r="A159" s="14"/>
      <c r="B159" s="15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>
      <c r="A160" s="14"/>
      <c r="B160" s="15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>
      <c r="A161" s="14"/>
      <c r="B161" s="15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>
      <c r="A162" s="14"/>
      <c r="B162" s="15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>
      <c r="A163" s="14"/>
      <c r="B163" s="15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>
      <c r="A164" s="14"/>
      <c r="B164" s="15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>
      <c r="A165" s="14"/>
      <c r="B165" s="15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>
      <c r="A166" s="14"/>
      <c r="B166" s="15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>
      <c r="A167" s="14"/>
      <c r="B167" s="15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>
      <c r="A168" s="14"/>
      <c r="B168" s="15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>
      <c r="A169" s="14"/>
      <c r="B169" s="15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>
      <c r="A170" s="14"/>
      <c r="B170" s="15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>
      <c r="A171" s="14"/>
      <c r="B171" s="15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>
      <c r="A172" s="14"/>
      <c r="B172" s="15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>
      <c r="A173" s="14"/>
      <c r="B173" s="15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>
      <c r="A174" s="14"/>
      <c r="B174" s="15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>
      <c r="A175" s="14"/>
      <c r="B175" s="15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>
      <c r="A176" s="14"/>
      <c r="B176" s="15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>
      <c r="A177" s="14"/>
      <c r="B177" s="15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>
      <c r="A178" s="14"/>
      <c r="B178" s="15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>
      <c r="A179" s="14"/>
      <c r="B179" s="15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>
      <c r="A180" s="14"/>
      <c r="B180" s="15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>
      <c r="A181" s="14"/>
      <c r="B181" s="15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>
      <c r="A182" s="14"/>
      <c r="B182" s="15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>
      <c r="A183" s="14"/>
      <c r="B183" s="15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>
      <c r="A184" s="14"/>
      <c r="B184" s="15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>
      <c r="A185" s="14"/>
      <c r="B185" s="15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>
      <c r="A186" s="14"/>
      <c r="B186" s="15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>
      <c r="A187" s="14"/>
      <c r="B187" s="15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>
      <c r="A188" s="14"/>
      <c r="B188" s="15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>
      <c r="A189" s="14"/>
      <c r="B189" s="15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>
      <c r="A190" s="14"/>
      <c r="B190" s="15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>
      <c r="A191" s="14"/>
      <c r="B191" s="15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>
      <c r="A192" s="14"/>
      <c r="B192" s="15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>
      <c r="A193" s="14"/>
      <c r="B193" s="15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>
      <c r="A194" s="14"/>
      <c r="B194" s="15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>
      <c r="A195" s="14"/>
      <c r="B195" s="15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>
      <c r="A196" s="14"/>
      <c r="B196" s="15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>
      <c r="A197" s="14"/>
      <c r="B197" s="15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>
      <c r="A198" s="14"/>
      <c r="B198" s="15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>
      <c r="A199" s="14"/>
      <c r="B199" s="15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>
      <c r="A200" s="14"/>
      <c r="B200" s="15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>
      <c r="A201" s="14"/>
      <c r="B201" s="15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>
      <c r="A202" s="14"/>
      <c r="B202" s="15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>
      <c r="A203" s="14"/>
      <c r="B203" s="15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>
      <c r="A204" s="14"/>
      <c r="B204" s="15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>
      <c r="A205" s="14"/>
      <c r="B205" s="15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>
      <c r="A206" s="14"/>
      <c r="B206" s="15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>
      <c r="A207" s="14"/>
      <c r="B207" s="15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>
      <c r="A208" s="14"/>
      <c r="B208" s="15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>
      <c r="A209" s="14"/>
      <c r="B209" s="15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>
      <c r="A210" s="14"/>
      <c r="B210" s="15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>
      <c r="A211" s="14"/>
      <c r="B211" s="15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>
      <c r="A212" s="14"/>
      <c r="B212" s="15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>
      <c r="A213" s="14"/>
      <c r="B213" s="15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>
      <c r="A214" s="14"/>
      <c r="B214" s="15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>
      <c r="A215" s="14"/>
      <c r="B215" s="15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>
      <c r="A216" s="14"/>
      <c r="B216" s="15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>
      <c r="A217" s="14"/>
      <c r="B217" s="15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>
      <c r="A218" s="14"/>
      <c r="B218" s="15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>
      <c r="A219" s="14"/>
      <c r="B219" s="15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>
      <c r="A220" s="14"/>
      <c r="B220" s="15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>
      <c r="A221" s="14"/>
      <c r="B221" s="15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>
      <c r="A222" s="14"/>
      <c r="B222" s="15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>
      <c r="A223" s="14"/>
      <c r="B223" s="15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>
      <c r="A224" s="14"/>
      <c r="B224" s="15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>
      <c r="A225" s="14"/>
      <c r="B225" s="15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>
      <c r="A226" s="14"/>
      <c r="B226" s="15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>
      <c r="A227" s="14"/>
      <c r="B227" s="15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>
      <c r="A228" s="14"/>
      <c r="B228" s="15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>
      <c r="A229" s="14"/>
      <c r="B229" s="15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>
      <c r="A230" s="14"/>
      <c r="B230" s="15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>
      <c r="A231" s="14"/>
      <c r="B231" s="15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>
      <c r="A232" s="14"/>
      <c r="B232" s="15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>
      <c r="A233" s="14"/>
      <c r="B233" s="15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>
      <c r="A234" s="14"/>
      <c r="B234" s="15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>
      <c r="A235" s="14"/>
      <c r="B235" s="15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>
      <c r="A236" s="14"/>
      <c r="B236" s="15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>
      <c r="A237" s="14"/>
      <c r="B237" s="15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>
      <c r="A238" s="14"/>
      <c r="B238" s="15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>
      <c r="A239" s="14"/>
      <c r="B239" s="15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>
      <c r="A240" s="14"/>
      <c r="B240" s="15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>
      <c r="A241" s="14"/>
      <c r="B241" s="15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>
      <c r="A242" s="14"/>
      <c r="B242" s="15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>
      <c r="A243" s="14"/>
      <c r="B243" s="15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>
      <c r="A244" s="14"/>
      <c r="B244" s="15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>
      <c r="A245" s="14"/>
      <c r="B245" s="15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>
      <c r="A246" s="14"/>
      <c r="B246" s="15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>
      <c r="A247" s="14"/>
      <c r="B247" s="15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>
      <c r="A248" s="14"/>
      <c r="B248" s="15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>
      <c r="A249" s="14"/>
      <c r="B249" s="15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>
      <c r="A250" s="14"/>
      <c r="B250" s="15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>
      <c r="A251" s="14"/>
      <c r="B251" s="15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>
      <c r="A252" s="14"/>
      <c r="B252" s="15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>
      <c r="A253" s="14"/>
      <c r="B253" s="15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>
      <c r="A254" s="14"/>
      <c r="B254" s="15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>
      <c r="A255" s="14"/>
      <c r="B255" s="15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>
      <c r="A256" s="14"/>
      <c r="B256" s="15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>
      <c r="A257" s="14"/>
      <c r="B257" s="15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>
      <c r="A258" s="14"/>
      <c r="B258" s="15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>
      <c r="A259" s="14"/>
      <c r="B259" s="15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>
      <c r="A260" s="14"/>
      <c r="B260" s="15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>
      <c r="A261" s="14"/>
      <c r="B261" s="15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>
      <c r="A262" s="14"/>
      <c r="B262" s="15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>
      <c r="A263" s="14"/>
      <c r="B263" s="15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>
      <c r="A264" s="14"/>
      <c r="B264" s="15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>
      <c r="A265" s="14"/>
      <c r="B265" s="15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>
      <c r="A266" s="14"/>
      <c r="B266" s="15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>
      <c r="A267" s="14"/>
      <c r="B267" s="15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>
      <c r="A268" s="14"/>
      <c r="B268" s="15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>
      <c r="A269" s="14"/>
      <c r="B269" s="15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>
      <c r="A270" s="14"/>
      <c r="B270" s="15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>
      <c r="A271" s="14"/>
      <c r="B271" s="15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>
      <c r="A272" s="14"/>
      <c r="B272" s="15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>
      <c r="A273" s="14"/>
      <c r="B273" s="15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>
      <c r="A274" s="14"/>
      <c r="B274" s="15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>
      <c r="A275" s="14"/>
      <c r="B275" s="15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>
      <c r="A276" s="14"/>
      <c r="B276" s="15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>
      <c r="A277" s="14"/>
      <c r="B277" s="15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>
      <c r="A278" s="14"/>
      <c r="B278" s="15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>
      <c r="A279" s="14"/>
      <c r="B279" s="15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>
      <c r="A280" s="14"/>
      <c r="B280" s="15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>
      <c r="A281" s="14"/>
      <c r="B281" s="15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>
      <c r="A282" s="14"/>
      <c r="B282" s="15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>
      <c r="A283" s="14"/>
      <c r="B283" s="15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>
      <c r="A284" s="14"/>
      <c r="B284" s="15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>
      <c r="A285" s="14"/>
      <c r="B285" s="15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>
      <c r="A286" s="14"/>
      <c r="B286" s="15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>
      <c r="A287" s="14"/>
      <c r="B287" s="15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>
      <c r="A288" s="14"/>
      <c r="B288" s="15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>
      <c r="A289" s="14"/>
      <c r="B289" s="15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>
      <c r="A290" s="14"/>
      <c r="B290" s="15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>
      <c r="A291" s="14"/>
      <c r="B291" s="15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>
      <c r="A292" s="14"/>
      <c r="B292" s="15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>
      <c r="A293" s="14"/>
      <c r="B293" s="15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>
      <c r="A294" s="14"/>
      <c r="B294" s="15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>
      <c r="A295" s="14"/>
      <c r="B295" s="15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>
      <c r="A296" s="14"/>
      <c r="B296" s="15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>
      <c r="A297" s="14"/>
      <c r="B297" s="15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>
      <c r="A298" s="14"/>
      <c r="B298" s="15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>
      <c r="A299" s="14"/>
      <c r="B299" s="15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>
      <c r="A300" s="14"/>
      <c r="B300" s="15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>
      <c r="A301" s="14"/>
      <c r="B301" s="15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>
      <c r="A302" s="14"/>
      <c r="B302" s="15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>
      <c r="A303" s="14"/>
      <c r="B303" s="15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>
      <c r="A304" s="14"/>
      <c r="B304" s="15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>
      <c r="A305" s="14"/>
      <c r="B305" s="15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>
      <c r="A306" s="14"/>
      <c r="B306" s="15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>
      <c r="A307" s="14"/>
      <c r="B307" s="15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>
      <c r="A308" s="14"/>
      <c r="B308" s="15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>
      <c r="A309" s="14"/>
      <c r="B309" s="15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>
      <c r="A310" s="14"/>
      <c r="B310" s="15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>
      <c r="A311" s="14"/>
      <c r="B311" s="15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>
      <c r="A312" s="14"/>
      <c r="B312" s="15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>
      <c r="A313" s="14"/>
      <c r="B313" s="15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>
      <c r="A314" s="14"/>
      <c r="B314" s="15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>
      <c r="A315" s="14"/>
      <c r="B315" s="15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>
      <c r="A316" s="14"/>
      <c r="B316" s="15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>
      <c r="A317" s="14"/>
      <c r="B317" s="15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>
      <c r="A318" s="14"/>
      <c r="B318" s="15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>
      <c r="A319" s="14"/>
      <c r="B319" s="15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>
      <c r="A320" s="14"/>
      <c r="B320" s="15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>
      <c r="A321" s="14"/>
      <c r="B321" s="15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>
      <c r="A322" s="14"/>
      <c r="B322" s="15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>
      <c r="A323" s="14"/>
      <c r="B323" s="15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>
      <c r="A324" s="14"/>
      <c r="B324" s="15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>
      <c r="A325" s="14"/>
      <c r="B325" s="15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>
      <c r="A326" s="14"/>
      <c r="B326" s="15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>
      <c r="A327" s="14"/>
      <c r="B327" s="15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>
      <c r="A328" s="14"/>
      <c r="B328" s="15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>
      <c r="A329" s="14"/>
      <c r="B329" s="15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>
      <c r="A330" s="14"/>
      <c r="B330" s="15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>
      <c r="A331" s="14"/>
      <c r="B331" s="15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>
      <c r="A332" s="14"/>
      <c r="B332" s="15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>
      <c r="A333" s="14"/>
      <c r="B333" s="15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>
      <c r="A334" s="14"/>
      <c r="B334" s="15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>
      <c r="A335" s="14"/>
      <c r="B335" s="15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>
      <c r="A336" s="14"/>
      <c r="B336" s="15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>
      <c r="A337" s="14"/>
      <c r="B337" s="15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>
      <c r="A338" s="14"/>
      <c r="B338" s="15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>
      <c r="A339" s="14"/>
      <c r="B339" s="15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>
      <c r="A340" s="14"/>
      <c r="B340" s="15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>
      <c r="A341" s="14"/>
      <c r="B341" s="15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>
      <c r="A342" s="14"/>
      <c r="B342" s="15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>
      <c r="A343" s="14"/>
      <c r="B343" s="15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>
      <c r="A344" s="14"/>
      <c r="B344" s="15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>
      <c r="A345" s="14"/>
      <c r="B345" s="15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>
      <c r="A346" s="14"/>
      <c r="B346" s="15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>
      <c r="A347" s="14"/>
      <c r="B347" s="15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>
      <c r="A348" s="14"/>
      <c r="B348" s="15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>
      <c r="A349" s="14"/>
      <c r="B349" s="15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>
      <c r="A350" s="14"/>
      <c r="B350" s="15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>
      <c r="A351" s="14"/>
      <c r="B351" s="15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>
      <c r="A352" s="14"/>
      <c r="B352" s="15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>
      <c r="A353" s="14"/>
      <c r="B353" s="15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>
      <c r="A354" s="14"/>
      <c r="B354" s="15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>
      <c r="A355" s="14"/>
      <c r="B355" s="15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>
      <c r="A356" s="14"/>
      <c r="B356" s="15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>
      <c r="A357" s="14"/>
      <c r="B357" s="15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>
      <c r="A358" s="14"/>
      <c r="B358" s="15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>
      <c r="A359" s="14"/>
      <c r="B359" s="15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>
      <c r="A360" s="14"/>
      <c r="B360" s="15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>
      <c r="A361" s="14"/>
      <c r="B361" s="15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>
      <c r="A362" s="14"/>
      <c r="B362" s="15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>
      <c r="A363" s="14"/>
      <c r="B363" s="15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>
      <c r="A364" s="14"/>
      <c r="B364" s="15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>
      <c r="A365" s="14"/>
      <c r="B365" s="15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>
      <c r="A366" s="14"/>
      <c r="B366" s="15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>
      <c r="A367" s="14"/>
      <c r="B367" s="15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>
      <c r="A368" s="14"/>
      <c r="B368" s="15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>
      <c r="A369" s="14"/>
      <c r="B369" s="15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>
      <c r="A370" s="14"/>
      <c r="B370" s="15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>
      <c r="A371" s="14"/>
      <c r="B371" s="15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>
      <c r="A372" s="14"/>
      <c r="B372" s="15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>
      <c r="A373" s="14"/>
      <c r="B373" s="15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>
      <c r="A374" s="14"/>
      <c r="B374" s="15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>
      <c r="A375" s="14"/>
      <c r="B375" s="15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>
      <c r="A376" s="14"/>
      <c r="B376" s="15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>
      <c r="A377" s="14"/>
      <c r="B377" s="15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>
      <c r="A378" s="14"/>
      <c r="B378" s="15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>
      <c r="A379" s="14"/>
      <c r="B379" s="15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>
      <c r="A380" s="14"/>
      <c r="B380" s="15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>
      <c r="A381" s="14"/>
      <c r="B381" s="15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>
      <c r="A382" s="14"/>
      <c r="B382" s="15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>
      <c r="A383" s="14"/>
      <c r="B383" s="15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>
      <c r="A384" s="14"/>
      <c r="B384" s="15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>
      <c r="A385" s="14"/>
      <c r="B385" s="15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>
      <c r="A386" s="14"/>
      <c r="B386" s="15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>
      <c r="A387" s="14"/>
      <c r="B387" s="15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>
      <c r="A388" s="14"/>
      <c r="B388" s="15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>
      <c r="A389" s="14"/>
      <c r="B389" s="15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>
      <c r="A390" s="14"/>
      <c r="B390" s="15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>
      <c r="A391" s="14"/>
      <c r="B391" s="15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>
      <c r="A392" s="14"/>
      <c r="B392" s="15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>
      <c r="A393" s="14"/>
      <c r="B393" s="15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>
      <c r="A394" s="14"/>
      <c r="B394" s="15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>
      <c r="A395" s="14"/>
      <c r="B395" s="15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>
      <c r="A396" s="14"/>
      <c r="B396" s="15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>
      <c r="A397" s="14"/>
      <c r="B397" s="15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>
      <c r="A398" s="14"/>
      <c r="B398" s="15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>
      <c r="A399" s="14"/>
      <c r="B399" s="15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>
      <c r="A400" s="14"/>
      <c r="B400" s="15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>
      <c r="A401" s="14"/>
      <c r="B401" s="15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>
      <c r="A402" s="14"/>
      <c r="B402" s="15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>
      <c r="A403" s="14"/>
      <c r="B403" s="15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>
      <c r="A404" s="14"/>
      <c r="B404" s="15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>
      <c r="A405" s="14"/>
      <c r="B405" s="15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>
      <c r="A406" s="14"/>
      <c r="B406" s="15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>
      <c r="A407" s="14"/>
      <c r="B407" s="15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>
      <c r="A408" s="14"/>
      <c r="B408" s="15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>
      <c r="A409" s="14"/>
      <c r="B409" s="15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>
      <c r="A410" s="14"/>
      <c r="B410" s="15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>
      <c r="A411" s="14"/>
      <c r="B411" s="15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>
      <c r="A412" s="14"/>
      <c r="B412" s="15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>
      <c r="A413" s="14"/>
      <c r="B413" s="15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>
      <c r="A414" s="14"/>
      <c r="B414" s="15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>
      <c r="A415" s="14"/>
      <c r="B415" s="15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>
      <c r="A416" s="14"/>
      <c r="B416" s="15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>
      <c r="A417" s="14"/>
      <c r="B417" s="15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>
      <c r="A418" s="14"/>
      <c r="B418" s="15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>
      <c r="A419" s="14"/>
      <c r="B419" s="15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>
      <c r="A420" s="14"/>
      <c r="B420" s="15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>
      <c r="A421" s="14"/>
      <c r="B421" s="15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>
      <c r="A422" s="14"/>
      <c r="B422" s="15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>
      <c r="A423" s="14"/>
      <c r="B423" s="15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>
      <c r="A424" s="14"/>
      <c r="B424" s="15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>
      <c r="A425" s="14"/>
      <c r="B425" s="15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>
      <c r="A426" s="14"/>
      <c r="B426" s="15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>
      <c r="A427" s="14"/>
      <c r="B427" s="15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>
      <c r="A428" s="14"/>
      <c r="B428" s="15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>
      <c r="A429" s="14"/>
      <c r="B429" s="15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>
      <c r="A430" s="14"/>
      <c r="B430" s="15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>
      <c r="A431" s="14"/>
      <c r="B431" s="15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>
      <c r="A432" s="14"/>
      <c r="B432" s="15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>
      <c r="A433" s="14"/>
      <c r="B433" s="15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>
      <c r="A434" s="14"/>
      <c r="B434" s="15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>
      <c r="A435" s="14"/>
      <c r="B435" s="15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>
      <c r="A436" s="14"/>
      <c r="B436" s="15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>
      <c r="A437" s="14"/>
      <c r="B437" s="15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>
      <c r="A438" s="14"/>
      <c r="B438" s="15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>
      <c r="A439" s="14"/>
      <c r="B439" s="15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>
      <c r="A440" s="14"/>
      <c r="B440" s="15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>
      <c r="A441" s="14"/>
      <c r="B441" s="15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>
      <c r="A442" s="14"/>
      <c r="B442" s="15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>
      <c r="A443" s="14"/>
      <c r="B443" s="15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>
      <c r="A444" s="14"/>
      <c r="B444" s="15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>
      <c r="A445" s="14"/>
      <c r="B445" s="15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>
      <c r="A446" s="14"/>
      <c r="B446" s="15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>
      <c r="A447" s="14"/>
      <c r="B447" s="15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>
      <c r="A448" s="14"/>
      <c r="B448" s="15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>
      <c r="A449" s="14"/>
      <c r="B449" s="15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>
      <c r="A450" s="14"/>
      <c r="B450" s="15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>
      <c r="A451" s="14"/>
      <c r="B451" s="15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>
      <c r="A452" s="14"/>
      <c r="B452" s="15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>
      <c r="A453" s="14"/>
      <c r="B453" s="15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>
      <c r="A454" s="14"/>
      <c r="B454" s="15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>
      <c r="A455" s="14"/>
      <c r="B455" s="15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>
      <c r="A456" s="14"/>
      <c r="B456" s="15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>
      <c r="A457" s="14"/>
      <c r="B457" s="15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>
      <c r="A458" s="14"/>
      <c r="B458" s="15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>
      <c r="A459" s="14"/>
      <c r="B459" s="15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>
      <c r="A460" s="14"/>
      <c r="B460" s="15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>
      <c r="A461" s="14"/>
      <c r="B461" s="15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>
      <c r="A462" s="14"/>
      <c r="B462" s="15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>
      <c r="A463" s="14"/>
      <c r="B463" s="15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>
      <c r="A464" s="14"/>
      <c r="B464" s="15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>
      <c r="A465" s="14"/>
      <c r="B465" s="15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>
      <c r="A466" s="14"/>
      <c r="B466" s="15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>
      <c r="A467" s="14"/>
      <c r="B467" s="15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>
      <c r="A468" s="14"/>
      <c r="B468" s="15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>
      <c r="A469" s="14"/>
      <c r="B469" s="15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>
      <c r="A470" s="14"/>
      <c r="B470" s="15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>
      <c r="A471" s="14"/>
      <c r="B471" s="15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>
      <c r="A472" s="14"/>
      <c r="B472" s="15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>
      <c r="A473" s="14"/>
      <c r="B473" s="15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>
      <c r="A474" s="14"/>
      <c r="B474" s="15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>
      <c r="A475" s="14"/>
      <c r="B475" s="15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>
      <c r="A476" s="14"/>
      <c r="B476" s="15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>
      <c r="A477" s="14"/>
      <c r="B477" s="15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>
      <c r="A478" s="14"/>
      <c r="B478" s="15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>
      <c r="A479" s="14"/>
      <c r="B479" s="15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>
      <c r="A480" s="14"/>
      <c r="B480" s="15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>
      <c r="A481" s="14"/>
      <c r="B481" s="15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>
      <c r="A482" s="14"/>
      <c r="B482" s="15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>
      <c r="A483" s="14"/>
      <c r="B483" s="15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>
      <c r="A484" s="14"/>
      <c r="B484" s="15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>
      <c r="A485" s="14"/>
      <c r="B485" s="15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>
      <c r="A486" s="14"/>
      <c r="B486" s="15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>
      <c r="A487" s="14"/>
      <c r="B487" s="15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>
      <c r="A488" s="14"/>
      <c r="B488" s="15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>
      <c r="A489" s="14"/>
      <c r="B489" s="15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>
      <c r="A490" s="14"/>
      <c r="B490" s="15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>
      <c r="A491" s="14"/>
      <c r="B491" s="15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>
      <c r="A492" s="14"/>
      <c r="B492" s="15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>
      <c r="A493" s="14"/>
      <c r="B493" s="15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>
      <c r="A494" s="14"/>
      <c r="B494" s="15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>
      <c r="A495" s="14"/>
      <c r="B495" s="15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>
      <c r="A496" s="14"/>
      <c r="B496" s="15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>
      <c r="A497" s="14"/>
      <c r="B497" s="15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>
      <c r="A498" s="14"/>
      <c r="B498" s="15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>
      <c r="A499" s="14"/>
      <c r="B499" s="15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>
      <c r="A500" s="14"/>
      <c r="B500" s="15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>
      <c r="A501" s="14"/>
      <c r="B501" s="15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>
      <c r="A502" s="14"/>
      <c r="B502" s="15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>
      <c r="A503" s="14"/>
      <c r="B503" s="15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>
      <c r="A504" s="14"/>
      <c r="B504" s="15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>
      <c r="A505" s="14"/>
      <c r="B505" s="15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>
      <c r="A506" s="14"/>
      <c r="B506" s="15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>
      <c r="A507" s="14"/>
      <c r="B507" s="15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>
      <c r="A508" s="14"/>
      <c r="B508" s="15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>
      <c r="A509" s="14"/>
      <c r="B509" s="15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>
      <c r="A510" s="14"/>
      <c r="B510" s="15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>
      <c r="A511" s="14"/>
      <c r="B511" s="15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>
      <c r="A512" s="14"/>
      <c r="B512" s="15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>
      <c r="A513" s="14"/>
      <c r="B513" s="15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>
      <c r="A514" s="14"/>
      <c r="B514" s="15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>
      <c r="A515" s="14"/>
      <c r="B515" s="15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>
      <c r="A516" s="14"/>
      <c r="B516" s="15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>
      <c r="A517" s="14"/>
      <c r="B517" s="15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>
      <c r="A518" s="14"/>
      <c r="B518" s="15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>
      <c r="A519" s="14"/>
      <c r="B519" s="15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>
      <c r="A520" s="14"/>
      <c r="B520" s="15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>
      <c r="A521" s="14"/>
      <c r="B521" s="15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>
      <c r="A522" s="14"/>
      <c r="B522" s="15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>
      <c r="A523" s="14"/>
      <c r="B523" s="15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>
      <c r="A524" s="14"/>
      <c r="B524" s="15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>
      <c r="A525" s="14"/>
      <c r="B525" s="15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>
      <c r="A526" s="14"/>
      <c r="B526" s="15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>
      <c r="A527" s="14"/>
      <c r="B527" s="15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>
      <c r="A528" s="14"/>
      <c r="B528" s="15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>
      <c r="A529" s="14"/>
      <c r="B529" s="15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>
      <c r="A530" s="14"/>
      <c r="B530" s="15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>
      <c r="A531" s="14"/>
      <c r="B531" s="15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>
      <c r="A532" s="14"/>
      <c r="B532" s="15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>
      <c r="A533" s="14"/>
      <c r="B533" s="15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>
      <c r="A534" s="14"/>
      <c r="B534" s="15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>
      <c r="A535" s="14"/>
      <c r="B535" s="15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>
      <c r="A536" s="14"/>
      <c r="B536" s="15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>
      <c r="A537" s="14"/>
      <c r="B537" s="15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>
      <c r="A538" s="14"/>
      <c r="B538" s="15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>
      <c r="A539" s="14"/>
      <c r="B539" s="15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>
      <c r="A540" s="14"/>
      <c r="B540" s="15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>
      <c r="A541" s="14"/>
      <c r="B541" s="15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>
      <c r="A542" s="14"/>
      <c r="B542" s="15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>
      <c r="A543" s="14"/>
      <c r="B543" s="15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>
      <c r="A544" s="14"/>
      <c r="B544" s="15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>
      <c r="A545" s="14"/>
      <c r="B545" s="15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>
      <c r="A546" s="14"/>
      <c r="B546" s="15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>
      <c r="A547" s="14"/>
      <c r="B547" s="15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>
      <c r="A548" s="14"/>
      <c r="B548" s="15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>
      <c r="A549" s="14"/>
      <c r="B549" s="15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>
      <c r="A550" s="14"/>
      <c r="B550" s="15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>
      <c r="A551" s="14"/>
      <c r="B551" s="15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>
      <c r="A552" s="14"/>
      <c r="B552" s="15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>
      <c r="A553" s="14"/>
      <c r="B553" s="15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>
      <c r="A554" s="14"/>
      <c r="B554" s="15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>
      <c r="A555" s="14"/>
      <c r="B555" s="15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>
      <c r="A556" s="14"/>
      <c r="B556" s="15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>
      <c r="A557" s="14"/>
      <c r="B557" s="15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>
      <c r="A558" s="14"/>
      <c r="B558" s="15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>
      <c r="A559" s="14"/>
      <c r="B559" s="15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>
      <c r="A560" s="14"/>
      <c r="B560" s="15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>
      <c r="A561" s="14"/>
      <c r="B561" s="15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>
      <c r="A562" s="14"/>
      <c r="B562" s="15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>
      <c r="A563" s="14"/>
      <c r="B563" s="15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>
      <c r="A564" s="14"/>
      <c r="B564" s="15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>
      <c r="A565" s="14"/>
      <c r="B565" s="15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>
      <c r="A566" s="14"/>
      <c r="B566" s="15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>
      <c r="A567" s="14"/>
      <c r="B567" s="15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>
      <c r="A568" s="14"/>
      <c r="B568" s="15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>
      <c r="A569" s="14"/>
      <c r="B569" s="15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>
      <c r="A570" s="14"/>
      <c r="B570" s="15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>
      <c r="A571" s="14"/>
      <c r="B571" s="15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>
      <c r="A572" s="14"/>
      <c r="B572" s="15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>
      <c r="A573" s="14"/>
      <c r="B573" s="15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>
      <c r="A574" s="14"/>
      <c r="B574" s="15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>
      <c r="A575" s="14"/>
      <c r="B575" s="15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>
      <c r="A576" s="14"/>
      <c r="B576" s="15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>
      <c r="A577" s="14"/>
      <c r="B577" s="15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>
      <c r="A578" s="14"/>
      <c r="B578" s="15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>
      <c r="A579" s="14"/>
      <c r="B579" s="15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>
      <c r="A580" s="14"/>
      <c r="B580" s="15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>
      <c r="A581" s="14"/>
      <c r="B581" s="15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>
      <c r="A582" s="14"/>
      <c r="B582" s="15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>
      <c r="A583" s="14"/>
      <c r="B583" s="15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>
      <c r="A584" s="14"/>
      <c r="B584" s="15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>
      <c r="A585" s="14"/>
      <c r="B585" s="15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>
      <c r="A586" s="14"/>
      <c r="B586" s="15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>
      <c r="A587" s="14"/>
      <c r="B587" s="15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>
      <c r="A588" s="14"/>
      <c r="B588" s="15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>
      <c r="A589" s="14"/>
      <c r="B589" s="15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>
      <c r="A590" s="14"/>
      <c r="B590" s="15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>
      <c r="A591" s="14"/>
      <c r="B591" s="15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>
      <c r="A592" s="14"/>
      <c r="B592" s="15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>
      <c r="A593" s="14"/>
      <c r="B593" s="15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>
      <c r="A594" s="14"/>
      <c r="B594" s="15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>
      <c r="A595" s="14"/>
      <c r="B595" s="15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>
      <c r="A596" s="14"/>
      <c r="B596" s="15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>
      <c r="A597" s="14"/>
      <c r="B597" s="15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>
      <c r="A598" s="14"/>
      <c r="B598" s="15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>
      <c r="A599" s="14"/>
      <c r="B599" s="15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>
      <c r="A600" s="14"/>
      <c r="B600" s="15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>
      <c r="A601" s="14"/>
      <c r="B601" s="15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>
      <c r="A602" s="14"/>
      <c r="B602" s="15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>
      <c r="A603" s="14"/>
      <c r="B603" s="15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>
      <c r="A604" s="14"/>
      <c r="B604" s="15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>
      <c r="A605" s="14"/>
      <c r="B605" s="15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>
      <c r="A606" s="14"/>
      <c r="B606" s="15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>
      <c r="A607" s="14"/>
      <c r="B607" s="15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>
      <c r="A608" s="14"/>
      <c r="B608" s="15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>
      <c r="A609" s="14"/>
      <c r="B609" s="15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>
      <c r="A610" s="14"/>
      <c r="B610" s="15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>
      <c r="A611" s="14"/>
      <c r="B611" s="15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>
      <c r="A612" s="14"/>
      <c r="B612" s="15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>
      <c r="A613" s="14"/>
      <c r="B613" s="15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>
      <c r="A614" s="14"/>
      <c r="B614" s="15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>
      <c r="A615" s="14"/>
      <c r="B615" s="15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>
      <c r="A616" s="14"/>
      <c r="B616" s="15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>
      <c r="A617" s="14"/>
      <c r="B617" s="15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>
      <c r="A618" s="14"/>
      <c r="B618" s="15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>
      <c r="A619" s="14"/>
      <c r="B619" s="15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>
      <c r="A620" s="14"/>
      <c r="B620" s="15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>
      <c r="A621" s="14"/>
      <c r="B621" s="15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>
      <c r="A622" s="14"/>
      <c r="B622" s="15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>
      <c r="A623" s="14"/>
      <c r="B623" s="15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>
      <c r="A624" s="14"/>
      <c r="B624" s="15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>
      <c r="A625" s="14"/>
      <c r="B625" s="15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>
      <c r="A626" s="14"/>
      <c r="B626" s="15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>
      <c r="A627" s="14"/>
      <c r="B627" s="15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>
      <c r="A628" s="14"/>
      <c r="B628" s="15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>
      <c r="A629" s="14"/>
      <c r="B629" s="15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>
      <c r="A630" s="14"/>
      <c r="B630" s="15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>
      <c r="A631" s="14"/>
      <c r="B631" s="15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>
      <c r="A632" s="14"/>
      <c r="B632" s="15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>
      <c r="A633" s="14"/>
      <c r="B633" s="15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>
      <c r="A634" s="14"/>
      <c r="B634" s="15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>
      <c r="A635" s="14"/>
      <c r="B635" s="15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>
      <c r="A636" s="14"/>
      <c r="B636" s="15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>
      <c r="A637" s="14"/>
      <c r="B637" s="15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>
      <c r="A638" s="14"/>
      <c r="B638" s="15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>
      <c r="A639" s="14"/>
      <c r="B639" s="15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>
      <c r="A640" s="14"/>
      <c r="B640" s="15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>
      <c r="A641" s="14"/>
      <c r="B641" s="15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>
      <c r="A642" s="14"/>
      <c r="B642" s="15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>
      <c r="A643" s="14"/>
      <c r="B643" s="15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>
      <c r="A644" s="14"/>
      <c r="B644" s="15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>
      <c r="A645" s="14"/>
      <c r="B645" s="15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>
      <c r="A646" s="14"/>
      <c r="B646" s="15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>
      <c r="A647" s="14"/>
      <c r="B647" s="15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>
      <c r="A648" s="14"/>
      <c r="B648" s="15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>
      <c r="A649" s="14"/>
      <c r="B649" s="15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>
      <c r="A650" s="14"/>
      <c r="B650" s="15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>
      <c r="A651" s="14"/>
      <c r="B651" s="15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>
      <c r="A652" s="14"/>
      <c r="B652" s="15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>
      <c r="A653" s="14"/>
      <c r="B653" s="15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>
      <c r="A654" s="14"/>
      <c r="B654" s="15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>
      <c r="A655" s="14"/>
      <c r="B655" s="15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>
      <c r="A656" s="14"/>
      <c r="B656" s="15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>
      <c r="A657" s="14"/>
      <c r="B657" s="15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>
      <c r="A658" s="14"/>
      <c r="B658" s="15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>
      <c r="A659" s="14"/>
      <c r="B659" s="15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>
      <c r="A660" s="14"/>
      <c r="B660" s="15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>
      <c r="A661" s="14"/>
      <c r="B661" s="15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>
      <c r="A662" s="14"/>
      <c r="B662" s="15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>
      <c r="A663" s="14"/>
      <c r="B663" s="15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>
      <c r="A664" s="14"/>
      <c r="B664" s="15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>
      <c r="A665" s="14"/>
      <c r="B665" s="15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>
      <c r="A666" s="14"/>
      <c r="B666" s="15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>
      <c r="A667" s="14"/>
      <c r="B667" s="15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>
      <c r="A668" s="14"/>
      <c r="B668" s="15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>
      <c r="A669" s="14"/>
      <c r="B669" s="15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>
      <c r="A670" s="14"/>
      <c r="B670" s="15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>
      <c r="A671" s="14"/>
      <c r="B671" s="15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>
      <c r="A672" s="14"/>
      <c r="B672" s="15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>
      <c r="A673" s="14"/>
      <c r="B673" s="15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>
      <c r="A674" s="14"/>
      <c r="B674" s="15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>
      <c r="A675" s="14"/>
      <c r="B675" s="15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>
      <c r="A676" s="14"/>
      <c r="B676" s="15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>
      <c r="A677" s="14"/>
      <c r="B677" s="15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>
      <c r="A678" s="14"/>
      <c r="B678" s="15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>
      <c r="A679" s="14"/>
      <c r="B679" s="15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>
      <c r="A680" s="14"/>
      <c r="B680" s="15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>
      <c r="A681" s="14"/>
      <c r="B681" s="15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>
      <c r="A682" s="14"/>
      <c r="B682" s="15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>
      <c r="A683" s="14"/>
      <c r="B683" s="15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>
      <c r="A684" s="14"/>
      <c r="B684" s="15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>
      <c r="A685" s="14"/>
      <c r="B685" s="15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>
      <c r="A686" s="14"/>
      <c r="B686" s="15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>
      <c r="A687" s="14"/>
      <c r="B687" s="15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>
      <c r="A688" s="14"/>
      <c r="B688" s="15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>
      <c r="A689" s="14"/>
      <c r="B689" s="15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>
      <c r="A690" s="14"/>
      <c r="B690" s="15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>
      <c r="A691" s="14"/>
      <c r="B691" s="15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>
      <c r="A692" s="14"/>
      <c r="B692" s="15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>
      <c r="A693" s="14"/>
      <c r="B693" s="15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>
      <c r="A694" s="14"/>
      <c r="B694" s="15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>
      <c r="A695" s="14"/>
      <c r="B695" s="15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>
      <c r="A696" s="14"/>
      <c r="B696" s="15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>
      <c r="A697" s="14"/>
      <c r="B697" s="15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>
      <c r="A698" s="14"/>
      <c r="B698" s="15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>
      <c r="A699" s="14"/>
      <c r="B699" s="15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>
      <c r="A700" s="14"/>
      <c r="B700" s="15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>
      <c r="A701" s="14"/>
      <c r="B701" s="15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>
      <c r="A702" s="14"/>
      <c r="B702" s="15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>
      <c r="A703" s="14"/>
      <c r="B703" s="15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>
      <c r="A704" s="14"/>
      <c r="B704" s="15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>
      <c r="A705" s="14"/>
      <c r="B705" s="15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>
      <c r="A706" s="14"/>
      <c r="B706" s="15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>
      <c r="A707" s="14"/>
      <c r="B707" s="15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>
      <c r="A708" s="14"/>
      <c r="B708" s="15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>
      <c r="A709" s="14"/>
      <c r="B709" s="15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>
      <c r="A710" s="14"/>
      <c r="B710" s="15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>
      <c r="A711" s="14"/>
      <c r="B711" s="15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>
      <c r="A712" s="14"/>
      <c r="B712" s="15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>
      <c r="A713" s="14"/>
      <c r="B713" s="15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>
      <c r="A714" s="14"/>
      <c r="B714" s="15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>
      <c r="A715" s="14"/>
      <c r="B715" s="15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>
      <c r="A716" s="14"/>
      <c r="B716" s="15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>
      <c r="A717" s="14"/>
      <c r="B717" s="15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>
      <c r="A718" s="14"/>
      <c r="B718" s="15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>
      <c r="A719" s="14"/>
      <c r="B719" s="15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>
      <c r="A720" s="14"/>
      <c r="B720" s="15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>
      <c r="A721" s="14"/>
      <c r="B721" s="15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>
      <c r="A722" s="14"/>
      <c r="B722" s="15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>
      <c r="A723" s="14"/>
      <c r="B723" s="15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>
      <c r="A724" s="14"/>
      <c r="B724" s="15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>
      <c r="A725" s="14"/>
      <c r="B725" s="15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>
      <c r="A726" s="14"/>
      <c r="B726" s="15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>
      <c r="A727" s="14"/>
      <c r="B727" s="15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>
      <c r="A728" s="14"/>
      <c r="B728" s="15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>
      <c r="A729" s="14"/>
      <c r="B729" s="15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>
      <c r="A730" s="14"/>
      <c r="B730" s="15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>
      <c r="A731" s="14"/>
      <c r="B731" s="15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>
      <c r="A732" s="14"/>
      <c r="B732" s="15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>
      <c r="A733" s="14"/>
      <c r="B733" s="15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>
      <c r="A734" s="14"/>
      <c r="B734" s="15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>
      <c r="A735" s="14"/>
      <c r="B735" s="15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>
      <c r="A736" s="14"/>
      <c r="B736" s="15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>
      <c r="A737" s="14"/>
      <c r="B737" s="15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>
      <c r="A738" s="14"/>
      <c r="B738" s="15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>
      <c r="A739" s="14"/>
      <c r="B739" s="15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>
      <c r="A740" s="14"/>
      <c r="B740" s="15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>
      <c r="A741" s="14"/>
      <c r="B741" s="15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>
      <c r="A742" s="14"/>
      <c r="B742" s="15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>
      <c r="A743" s="14"/>
      <c r="B743" s="15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>
      <c r="A744" s="14"/>
      <c r="B744" s="15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>
      <c r="A745" s="14"/>
      <c r="B745" s="15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>
      <c r="A746" s="14"/>
      <c r="B746" s="15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>
      <c r="A747" s="14"/>
      <c r="B747" s="15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>
      <c r="A748" s="14"/>
      <c r="B748" s="15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>
      <c r="A749" s="14"/>
      <c r="B749" s="15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>
      <c r="A750" s="14"/>
      <c r="B750" s="15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>
      <c r="A751" s="14"/>
      <c r="B751" s="15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>
      <c r="A752" s="14"/>
      <c r="B752" s="15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>
      <c r="A753" s="14"/>
      <c r="B753" s="15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>
      <c r="A754" s="14"/>
      <c r="B754" s="15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>
      <c r="A755" s="14"/>
      <c r="B755" s="15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>
      <c r="A756" s="14"/>
      <c r="B756" s="15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>
      <c r="A757" s="14"/>
      <c r="B757" s="15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>
      <c r="A758" s="14"/>
      <c r="B758" s="15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>
      <c r="A759" s="14"/>
      <c r="B759" s="15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>
      <c r="A760" s="14"/>
      <c r="B760" s="15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>
      <c r="A761" s="14"/>
      <c r="B761" s="15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>
      <c r="A762" s="14"/>
      <c r="B762" s="15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>
      <c r="A763" s="14"/>
      <c r="B763" s="15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>
      <c r="A764" s="14"/>
      <c r="B764" s="15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>
      <c r="A765" s="14"/>
      <c r="B765" s="15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>
      <c r="A766" s="14"/>
      <c r="B766" s="15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>
      <c r="A767" s="14"/>
      <c r="B767" s="15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>
      <c r="A768" s="14"/>
      <c r="B768" s="15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>
      <c r="A769" s="14"/>
      <c r="B769" s="15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>
      <c r="A770" s="14"/>
      <c r="B770" s="15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>
      <c r="A771" s="14"/>
      <c r="B771" s="15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>
      <c r="A772" s="14"/>
      <c r="B772" s="15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>
      <c r="A773" s="14"/>
      <c r="B773" s="15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>
      <c r="A774" s="14"/>
      <c r="B774" s="15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>
      <c r="A775" s="14"/>
      <c r="B775" s="15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>
      <c r="A776" s="14"/>
      <c r="B776" s="15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>
      <c r="A777" s="14"/>
      <c r="B777" s="15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>
      <c r="A778" s="14"/>
      <c r="B778" s="15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>
      <c r="A779" s="14"/>
      <c r="B779" s="15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>
      <c r="A780" s="14"/>
      <c r="B780" s="15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>
      <c r="A781" s="14"/>
      <c r="B781" s="15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>
      <c r="A782" s="14"/>
      <c r="B782" s="15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>
      <c r="A783" s="14"/>
      <c r="B783" s="15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>
      <c r="A784" s="14"/>
      <c r="B784" s="15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>
      <c r="A785" s="14"/>
      <c r="B785" s="15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>
      <c r="A786" s="14"/>
      <c r="B786" s="15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>
      <c r="A787" s="14"/>
      <c r="B787" s="15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>
      <c r="A788" s="14"/>
      <c r="B788" s="15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>
      <c r="A789" s="14"/>
      <c r="B789" s="15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>
      <c r="A790" s="14"/>
      <c r="B790" s="15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>
      <c r="A791" s="14"/>
      <c r="B791" s="15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>
      <c r="A792" s="14"/>
      <c r="B792" s="15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>
      <c r="A793" s="14"/>
      <c r="B793" s="15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>
      <c r="A794" s="14"/>
      <c r="B794" s="15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>
      <c r="A795" s="14"/>
      <c r="B795" s="15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>
      <c r="A796" s="14"/>
      <c r="B796" s="15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>
      <c r="A797" s="14"/>
      <c r="B797" s="15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>
      <c r="A798" s="14"/>
      <c r="B798" s="15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>
      <c r="A799" s="14"/>
      <c r="B799" s="15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>
      <c r="A800" s="14"/>
      <c r="B800" s="15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>
      <c r="A801" s="14"/>
      <c r="B801" s="15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>
      <c r="A802" s="14"/>
      <c r="B802" s="15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>
      <c r="A803" s="14"/>
      <c r="B803" s="15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>
      <c r="A804" s="14"/>
      <c r="B804" s="15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>
      <c r="A805" s="14"/>
      <c r="B805" s="15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>
      <c r="A806" s="14"/>
      <c r="B806" s="15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>
      <c r="A807" s="14"/>
      <c r="B807" s="15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>
      <c r="A808" s="14"/>
      <c r="B808" s="15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>
      <c r="A809" s="14"/>
      <c r="B809" s="15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>
      <c r="A810" s="14"/>
      <c r="B810" s="15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>
      <c r="A811" s="14"/>
      <c r="B811" s="15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>
      <c r="A812" s="14"/>
      <c r="B812" s="15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>
      <c r="A813" s="14"/>
      <c r="B813" s="15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>
      <c r="A814" s="14"/>
      <c r="B814" s="15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>
      <c r="A815" s="14"/>
      <c r="B815" s="15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>
      <c r="A816" s="14"/>
      <c r="B816" s="15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>
      <c r="A817" s="14"/>
      <c r="B817" s="15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>
      <c r="A818" s="14"/>
      <c r="B818" s="15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>
      <c r="A819" s="14"/>
      <c r="B819" s="15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>
      <c r="A820" s="14"/>
      <c r="B820" s="15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>
      <c r="A821" s="14"/>
      <c r="B821" s="15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>
      <c r="A822" s="14"/>
      <c r="B822" s="15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>
      <c r="A823" s="14"/>
      <c r="B823" s="15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>
      <c r="A824" s="14"/>
      <c r="B824" s="15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>
      <c r="A825" s="14"/>
      <c r="B825" s="15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>
      <c r="A826" s="14"/>
      <c r="B826" s="15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>
      <c r="A827" s="14"/>
      <c r="B827" s="15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>
      <c r="A828" s="14"/>
      <c r="B828" s="15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>
      <c r="A829" s="14"/>
      <c r="B829" s="15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>
      <c r="A830" s="14"/>
      <c r="B830" s="15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>
      <c r="A831" s="14"/>
      <c r="B831" s="15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>
      <c r="A832" s="14"/>
      <c r="B832" s="15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>
      <c r="A833" s="14"/>
      <c r="B833" s="15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>
      <c r="A834" s="14"/>
      <c r="B834" s="15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>
      <c r="A835" s="14"/>
      <c r="B835" s="15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>
      <c r="A836" s="14"/>
      <c r="B836" s="15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>
      <c r="A837" s="14"/>
      <c r="B837" s="15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>
      <c r="A838" s="14"/>
      <c r="B838" s="15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>
      <c r="A839" s="14"/>
      <c r="B839" s="15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>
      <c r="A840" s="14"/>
      <c r="B840" s="15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>
      <c r="A841" s="14"/>
      <c r="B841" s="15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>
      <c r="A842" s="14"/>
      <c r="B842" s="15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>
      <c r="A843" s="14"/>
      <c r="B843" s="15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>
      <c r="A844" s="14"/>
      <c r="B844" s="15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>
      <c r="A845" s="14"/>
      <c r="B845" s="15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>
      <c r="A846" s="14"/>
      <c r="B846" s="15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>
      <c r="A847" s="14"/>
      <c r="B847" s="15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>
      <c r="A848" s="14"/>
      <c r="B848" s="15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>
      <c r="A849" s="14"/>
      <c r="B849" s="15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>
      <c r="A850" s="14"/>
      <c r="B850" s="15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>
      <c r="A851" s="14"/>
      <c r="B851" s="15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>
      <c r="A852" s="14"/>
      <c r="B852" s="15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>
      <c r="A853" s="14"/>
      <c r="B853" s="15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>
      <c r="A854" s="14"/>
      <c r="B854" s="15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>
      <c r="A855" s="14"/>
      <c r="B855" s="15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>
      <c r="A856" s="14"/>
      <c r="B856" s="15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>
      <c r="A857" s="14"/>
      <c r="B857" s="15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>
      <c r="A858" s="14"/>
      <c r="B858" s="15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>
      <c r="A859" s="14"/>
      <c r="B859" s="15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>
      <c r="A860" s="14"/>
      <c r="B860" s="15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>
      <c r="A861" s="14"/>
      <c r="B861" s="15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>
      <c r="A862" s="14"/>
      <c r="B862" s="15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>
      <c r="A863" s="14"/>
      <c r="B863" s="15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>
      <c r="A864" s="14"/>
      <c r="B864" s="15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>
      <c r="A865" s="14"/>
      <c r="B865" s="15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>
      <c r="A866" s="14"/>
      <c r="B866" s="15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>
      <c r="A867" s="14"/>
      <c r="B867" s="15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>
      <c r="A868" s="14"/>
      <c r="B868" s="15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>
      <c r="A869" s="14"/>
      <c r="B869" s="15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>
      <c r="A870" s="14"/>
      <c r="B870" s="15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>
      <c r="A871" s="14"/>
      <c r="B871" s="15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>
      <c r="A872" s="14"/>
      <c r="B872" s="15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>
      <c r="A873" s="14"/>
      <c r="B873" s="15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>
      <c r="A874" s="14"/>
      <c r="B874" s="15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>
      <c r="A875" s="14"/>
      <c r="B875" s="15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>
      <c r="A876" s="14"/>
      <c r="B876" s="15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>
      <c r="A877" s="14"/>
      <c r="B877" s="15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>
      <c r="A878" s="14"/>
      <c r="B878" s="15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>
      <c r="A879" s="14"/>
      <c r="B879" s="15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>
      <c r="A880" s="14"/>
      <c r="B880" s="15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>
      <c r="A881" s="14"/>
      <c r="B881" s="15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>
      <c r="A882" s="14"/>
      <c r="B882" s="15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>
      <c r="A883" s="14"/>
      <c r="B883" s="15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>
      <c r="A884" s="14"/>
      <c r="B884" s="15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>
      <c r="A885" s="14"/>
      <c r="B885" s="15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>
      <c r="A886" s="14"/>
      <c r="B886" s="15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>
      <c r="A887" s="14"/>
      <c r="B887" s="15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>
      <c r="A888" s="14"/>
      <c r="B888" s="15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>
      <c r="A889" s="14"/>
      <c r="B889" s="15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>
      <c r="A890" s="14"/>
      <c r="B890" s="15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>
      <c r="A891" s="14"/>
      <c r="B891" s="15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>
      <c r="A892" s="14"/>
      <c r="B892" s="15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>
      <c r="A893" s="14"/>
      <c r="B893" s="15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>
      <c r="A894" s="14"/>
      <c r="B894" s="15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>
      <c r="A895" s="14"/>
      <c r="B895" s="15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>
      <c r="A896" s="14"/>
      <c r="B896" s="15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>
      <c r="A897" s="14"/>
      <c r="B897" s="15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>
      <c r="A898" s="14"/>
      <c r="B898" s="15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>
      <c r="A899" s="14"/>
      <c r="B899" s="15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>
      <c r="A900" s="14"/>
      <c r="B900" s="15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>
      <c r="A901" s="14"/>
      <c r="B901" s="15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>
      <c r="A902" s="14"/>
      <c r="B902" s="15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>
      <c r="A903" s="14"/>
      <c r="B903" s="15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>
      <c r="A904" s="14"/>
      <c r="B904" s="15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>
      <c r="A905" s="14"/>
      <c r="B905" s="15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>
      <c r="A906" s="14"/>
      <c r="B906" s="15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>
      <c r="A907" s="14"/>
      <c r="B907" s="15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>
      <c r="A908" s="14"/>
      <c r="B908" s="15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>
      <c r="A909" s="14"/>
      <c r="B909" s="15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>
      <c r="A910" s="14"/>
      <c r="B910" s="15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>
      <c r="A911" s="14"/>
      <c r="B911" s="15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>
      <c r="A912" s="14"/>
      <c r="B912" s="15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>
      <c r="A913" s="14"/>
      <c r="B913" s="15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>
      <c r="A914" s="14"/>
      <c r="B914" s="15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>
      <c r="A915" s="14"/>
      <c r="B915" s="15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>
      <c r="A916" s="14"/>
      <c r="B916" s="15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>
      <c r="A917" s="14"/>
      <c r="B917" s="15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>
      <c r="A918" s="14"/>
      <c r="B918" s="15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>
      <c r="A919" s="14"/>
      <c r="B919" s="15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>
      <c r="A920" s="14"/>
      <c r="B920" s="15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>
      <c r="A921" s="14"/>
      <c r="B921" s="15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>
      <c r="A922" s="14"/>
      <c r="B922" s="15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>
      <c r="A923" s="14"/>
      <c r="B923" s="15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>
      <c r="A924" s="14"/>
      <c r="B924" s="15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>
      <c r="A925" s="14"/>
      <c r="B925" s="15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>
      <c r="A926" s="14"/>
      <c r="B926" s="15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>
      <c r="A927" s="14"/>
      <c r="B927" s="15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>
      <c r="A928" s="14"/>
      <c r="B928" s="15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>
      <c r="A929" s="14"/>
      <c r="B929" s="15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>
      <c r="A930" s="14"/>
      <c r="B930" s="15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>
      <c r="A931" s="14"/>
      <c r="B931" s="15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>
      <c r="A932" s="14"/>
      <c r="B932" s="15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>
      <c r="A933" s="14"/>
      <c r="B933" s="15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>
      <c r="A934" s="14"/>
      <c r="B934" s="15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>
      <c r="A935" s="14"/>
      <c r="B935" s="15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>
      <c r="A936" s="14"/>
      <c r="B936" s="15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>
      <c r="A937" s="14"/>
      <c r="B937" s="15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>
      <c r="A938" s="14"/>
      <c r="B938" s="15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>
      <c r="A939" s="14"/>
      <c r="B939" s="15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>
      <c r="A940" s="14"/>
      <c r="B940" s="15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>
      <c r="A941" s="14"/>
      <c r="B941" s="15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>
      <c r="A942" s="14"/>
      <c r="B942" s="15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>
      <c r="A943" s="14"/>
      <c r="B943" s="15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>
      <c r="A944" s="14"/>
      <c r="B944" s="15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>
      <c r="A945" s="14"/>
      <c r="B945" s="15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>
      <c r="A946" s="14"/>
      <c r="B946" s="15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>
      <c r="A947" s="14"/>
      <c r="B947" s="15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>
      <c r="A948" s="14"/>
      <c r="B948" s="15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>
      <c r="A949" s="14"/>
      <c r="B949" s="15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>
      <c r="A950" s="14"/>
      <c r="B950" s="15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>
      <c r="A951" s="14"/>
      <c r="B951" s="15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>
      <c r="A952" s="14"/>
      <c r="B952" s="15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>
      <c r="A953" s="14"/>
      <c r="B953" s="15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>
      <c r="A954" s="14"/>
      <c r="B954" s="15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>
      <c r="A955" s="14"/>
      <c r="B955" s="15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>
      <c r="A956" s="14"/>
      <c r="B956" s="15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>
      <c r="A957" s="14"/>
      <c r="B957" s="15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>
      <c r="A958" s="14"/>
      <c r="B958" s="15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>
      <c r="A959" s="14"/>
      <c r="B959" s="15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>
      <c r="A960" s="14"/>
      <c r="B960" s="15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>
      <c r="A961" s="14"/>
      <c r="B961" s="15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>
      <c r="A962" s="14"/>
      <c r="B962" s="15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>
      <c r="A963" s="14"/>
      <c r="B963" s="15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>
      <c r="A964" s="14"/>
      <c r="B964" s="15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>
      <c r="A965" s="14"/>
      <c r="B965" s="15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>
      <c r="A966" s="14"/>
      <c r="B966" s="15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>
      <c r="A967" s="14"/>
      <c r="B967" s="15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>
      <c r="A968" s="14"/>
      <c r="B968" s="15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>
      <c r="A969" s="14"/>
      <c r="B969" s="15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>
      <c r="A970" s="14"/>
      <c r="B970" s="15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>
      <c r="A971" s="14"/>
      <c r="B971" s="15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>
      <c r="A972" s="14"/>
      <c r="B972" s="15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>
      <c r="A973" s="14"/>
      <c r="B973" s="15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>
      <c r="A974" s="14"/>
      <c r="B974" s="15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>
      <c r="A975" s="14"/>
      <c r="B975" s="15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>
      <c r="A976" s="14"/>
      <c r="B976" s="15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>
      <c r="A977" s="14"/>
      <c r="B977" s="15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>
      <c r="A978" s="14"/>
      <c r="B978" s="15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>
      <c r="A979" s="14"/>
      <c r="B979" s="15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>
      <c r="A980" s="14"/>
      <c r="B980" s="15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>
      <c r="A981" s="14"/>
      <c r="B981" s="15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>
      <c r="A982" s="14"/>
      <c r="B982" s="15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>
      <c r="A983" s="14"/>
      <c r="B983" s="15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>
      <c r="A984" s="14"/>
      <c r="B984" s="15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>
      <c r="A985" s="14"/>
      <c r="B985" s="15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>
      <c r="A986" s="14"/>
      <c r="B986" s="15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>
      <c r="A987" s="14"/>
      <c r="B987" s="15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>
      <c r="A988" s="14"/>
      <c r="B988" s="15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>
      <c r="A989" s="14"/>
      <c r="B989" s="15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>
      <c r="A990" s="14"/>
      <c r="B990" s="15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>
      <c r="A991" s="14"/>
      <c r="B991" s="15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>
      <c r="A992" s="14"/>
      <c r="B992" s="15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>
      <c r="A993" s="14"/>
      <c r="B993" s="15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>
      <c r="A994" s="14"/>
      <c r="B994" s="15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>
      <c r="A995" s="14"/>
      <c r="B995" s="15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>
      <c r="A996" s="14"/>
      <c r="B996" s="15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>
      <c r="A997" s="14"/>
      <c r="B997" s="15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>
      <c r="A998" s="14"/>
      <c r="B998" s="15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>
      <c r="A999" s="14"/>
      <c r="B999" s="15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>
      <c r="A1000" s="14"/>
      <c r="B1000" s="15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>
      <c r="A1001" s="14"/>
      <c r="B1001" s="15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>
      <c r="A1002" s="14"/>
      <c r="B1002" s="15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>
      <c r="A1003" s="14"/>
      <c r="B1003" s="15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>
      <c r="A1004" s="14"/>
      <c r="B1004" s="15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>
      <c r="A1005" s="14"/>
      <c r="B1005" s="15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</sheetData>
  <mergeCells count="3">
    <mergeCell ref="A3:A4"/>
    <mergeCell ref="B3:B4"/>
    <mergeCell ref="C3:M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.13"/>
    <col customWidth="1" min="4" max="15" width="12.63"/>
  </cols>
  <sheetData>
    <row r="1">
      <c r="A1" s="1" t="s">
        <v>43</v>
      </c>
    </row>
    <row r="2">
      <c r="A2" s="2" t="s">
        <v>45</v>
      </c>
    </row>
    <row r="3">
      <c r="A3" s="5" t="s">
        <v>8</v>
      </c>
      <c r="B3" s="7" t="s">
        <v>10</v>
      </c>
      <c r="C3" s="7" t="s">
        <v>49</v>
      </c>
      <c r="D3" s="9" t="s">
        <v>12</v>
      </c>
      <c r="E3" s="10"/>
      <c r="F3" s="10"/>
      <c r="G3" s="10"/>
      <c r="H3" s="10"/>
      <c r="I3" s="10"/>
      <c r="J3" s="10"/>
      <c r="K3" s="10"/>
      <c r="L3" s="10"/>
      <c r="M3" s="10"/>
      <c r="N3" s="11"/>
      <c r="O3" s="7" t="s">
        <v>53</v>
      </c>
    </row>
    <row r="4">
      <c r="A4" s="12"/>
      <c r="B4" s="12"/>
      <c r="C4" s="12"/>
      <c r="D4" s="26" t="s">
        <v>17</v>
      </c>
      <c r="E4" s="26" t="s">
        <v>19</v>
      </c>
      <c r="F4" s="26" t="s">
        <v>20</v>
      </c>
      <c r="G4" s="26" t="s">
        <v>22</v>
      </c>
      <c r="H4" s="26" t="s">
        <v>23</v>
      </c>
      <c r="I4" s="26" t="s">
        <v>25</v>
      </c>
      <c r="J4" s="26" t="s">
        <v>26</v>
      </c>
      <c r="K4" s="26" t="s">
        <v>27</v>
      </c>
      <c r="L4" s="26" t="s">
        <v>29</v>
      </c>
      <c r="M4" s="26" t="s">
        <v>30</v>
      </c>
      <c r="N4" s="26" t="s">
        <v>32</v>
      </c>
      <c r="O4" s="12"/>
    </row>
    <row r="5">
      <c r="A5" s="2" t="s">
        <v>36</v>
      </c>
      <c r="B5" s="31"/>
      <c r="C5" s="31"/>
      <c r="D5" s="44">
        <f>IF(MapWeight!C6&lt;&gt;0, SUM(D7:D9, D11:D13, D15:D17, D19:D21, D23:D25, D27:D29, D31:D33, D35:D37, D39:D41, D43:D45, D47:D49, D51:D53, D55:D57, D59:D61, D63:D65, D67:D69, D71:D73, D75:D77, D79:D81, D83:D85, D87:D89, D91:D93, D95:D97, D99:D101, D103:D105, D107:D109, D111:D113, D115:D117)/MapWeight!C6, "")</f>
        <v>75.39930556</v>
      </c>
      <c r="E5" s="44">
        <f>IF(MapWeight!D6&lt;&gt;0, SUM(E7:E9, E11:E13, E15:E17, E19:E21, E23:E25, E27:E29, E31:E33, E35:E37, E39:E41, E43:E45, E47:E49, E51:E53, E55:E57, E59:E61, E63:E65, E67:E69, E71:E73, E75:E77, E79:E81, E83:E85, E87:E89, E91:E93, E95:E97, E99:E101, E103:E105, E107:E109, E111:E113, E115:E117)/MapWeight!D6, "")</f>
        <v>73.87820513</v>
      </c>
      <c r="F5" s="44">
        <f>IF(MapWeight!E6&lt;&gt;0, SUM(F7:F9, F11:F13, F15:F17, F19:F21, F23:F25, F27:F29, F31:F33, F35:F37, F39:F41, F43:F45, F47:F49, F51:F53, F55:F57, F59:F61, F63:F65, F67:F69, F71:F73, F75:F77, F79:F81, F83:F85, F87:F89, F91:F93, F95:F97, F99:F101, F103:F105, F107:F109, F111:F113, F115:F117)/MapWeight!E6, "")</f>
        <v>74.21428571</v>
      </c>
      <c r="G5" s="44">
        <f>IF(MapWeight!F6&lt;&gt;0, SUM(G7:G9, G11:G13, G15:G17, G19:G21, G23:G25, G27:G29, G31:G33, G35:G37, G39:G41, G43:G45, G47:G49, G51:G53, G55:G57, G59:G61, G63:G65, G67:G69, G71:G73, G75:G77, G79:G81, G83:G85, G87:G89, G91:G93, G95:G97, G99:G101, G103:G105, G107:G109, G111:G113, G115:G117)/MapWeight!F6, "")</f>
        <v>75.12411348</v>
      </c>
      <c r="H5" s="44">
        <f>IF(MapWeight!G6&lt;&gt;0, SUM(H7:H9, H11:H13, H15:H17, H19:H21, H23:H25, H27:H29, H31:H33, H35:H37, H39:H41, H43:H45, H47:H49, H51:H53, H55:H57, H59:H61, H63:H65, H67:H69, H71:H73, H75:H77, H79:H81, H83:H85, H87:H89, H91:H93, H95:H97, H99:H101, H103:H105, H107:H109, H111:H113, H115:H117)/MapWeight!G6, "")</f>
        <v>73.52564103</v>
      </c>
      <c r="I5" s="44">
        <f>IF(MapWeight!H6&lt;&gt;0, SUM(I7:I9, I11:I13, I15:I17, I19:I21, I23:I25, I27:I29, I31:I33, I35:I37, I39:I41, I43:I45, I47:I49, I51:I53, I55:I57, I59:I61, I63:I65, I67:I69, I71:I73, I75:I77, I79:I81, I83:I85, I87:I89, I91:I93, I95:I97, I99:I101, I103:I105, I107:I109, I111:I113, I115:I117)/MapWeight!H6, "")</f>
        <v>73.73611111</v>
      </c>
      <c r="J5" s="44">
        <f>IF(MapWeight!I6&lt;&gt;0, SUM(J7:J9, J11:J13, J15:J17, J19:J21, J23:J25, J27:J29, J31:J33, J35:J37, J39:J41, J43:J45, J47:J49, J51:J53, J55:J57, J59:J61, J63:J65, J67:J69, J71:J73, J75:J77, J79:J81, J83:J85, J87:J89, J91:J93, J95:J97, J99:J101, J103:J105, J107:J109, J111:J113, J115:J117)/MapWeight!I6, "")</f>
        <v>74.4375</v>
      </c>
      <c r="K5" s="44">
        <f>IF(MapWeight!J6&lt;&gt;0, SUM(K7:K9, K11:K13, K15:K17, K19:K21, K23:K25, K27:K29, K31:K33, K35:K37, K39:K41, K43:K45, K47:K49, K51:K53, K55:K57, K59:K61, K63:K65, K67:K69, K71:K73, K75:K77, K79:K81, K83:K85, K87:K89, K91:K93, K95:K97, K99:K101, K103:K105, K107:K109, K111:K113, K115:K117)/MapWeight!J6, "")</f>
        <v>74.67592593</v>
      </c>
      <c r="L5" s="44">
        <f>IF(MapWeight!K6&lt;&gt;0, SUM(L7:L9, L11:L13, L15:L17, L19:L21, L23:L25, L27:L29, L31:L33, L35:L37, L39:L41, L43:L45, L47:L49, L51:L53, L55:L57, L59:L61, L63:L65, L67:L69, L71:L73, L75:L77, L79:L81, L83:L85, L87:L89, L91:L93, L95:L97, L99:L101, L103:L105, L107:L109, L111:L113, L115:L117)/MapWeight!K6, "")</f>
        <v>73.95238095</v>
      </c>
      <c r="M5" s="44">
        <f>IF(MapWeight!L6&lt;&gt;0, SUM(M7:M9, M11:M13, M15:M17, M19:M21, M23:M25, M27:M29, M31:M33, M35:M37, M39:M41, M43:M45, M47:M49, M51:M53, M55:M57, M59:M61, M63:M65, M67:M69, M71:M73, M75:M77, M79:M81, M83:M85, M87:M89, M91:M93, M95:M97, M99:M101, M103:M105, M107:M109, M111:M113, M115:M117)/MapWeight!L6, "")</f>
        <v>74.32795699</v>
      </c>
      <c r="N5" s="44">
        <f>IF(MapWeight!M6&lt;&gt;0, SUM(N7:N9, N11:N13, N15:N17, N19:N21, N23:N25, N27:N29, N31:N33, N35:N37, N39:N41, N43:N45, N47:N49, N51:N53, N55:N57, N59:N61, N63:N65, N67:N69, N71:N73, N75:N77, N79:N81, N83:N85, N87:N89, N91:N93, N95:N97, N99:N101, N103:N105, N107:N109, N111:N113, N115:N117)/MapWeight!M6, "")</f>
        <v>74.3018018</v>
      </c>
      <c r="O5" s="59">
        <f t="shared" ref="O5:O6" si="1">AVERAGE(D5:N5)</f>
        <v>74.32483888</v>
      </c>
    </row>
    <row r="6">
      <c r="A6" s="60" t="s">
        <v>15</v>
      </c>
      <c r="B6" s="39"/>
      <c r="C6" s="61">
        <f>AVERAGE(C7:C9)</f>
        <v>70.83333333</v>
      </c>
      <c r="D6" s="62">
        <f>IF(MapWeight!C7&lt;&gt;0, SUM(D7:D9)/MapWeight!C7, "")</f>
        <v>70</v>
      </c>
      <c r="E6" s="63">
        <f>IF(MapWeight!D7&lt;&gt;0, SUM(E7:E9)/MapWeight!D7, "")</f>
        <v>87.5</v>
      </c>
      <c r="F6" s="63">
        <f>IF(MapWeight!E7&lt;&gt;0, SUM(F7:F9)/MapWeight!E7, "")</f>
        <v>72.5</v>
      </c>
      <c r="G6" s="62" t="str">
        <f>IF(MapWeight!F7&lt;&gt;0, SUM(G7:G9)/MapWeight!F7, "")</f>
        <v/>
      </c>
      <c r="H6" s="63" t="str">
        <f>IF(MapWeight!G7&lt;&gt;0, SUM(H7:H9)/MapWeight!G7, "")</f>
        <v/>
      </c>
      <c r="I6" s="63" t="str">
        <f>IF(MapWeight!H7&lt;&gt;0, SUM(I7:I9)/MapWeight!H7, "")</f>
        <v/>
      </c>
      <c r="J6" s="62" t="str">
        <f>IF(MapWeight!I7&lt;&gt;0, SUM(J7:J9)/MapWeight!I7, "")</f>
        <v/>
      </c>
      <c r="K6" s="63" t="str">
        <f>IF(MapWeight!J7&lt;&gt;0, SUM(K7:K9)/MapWeight!J7, "")</f>
        <v/>
      </c>
      <c r="L6" s="63" t="str">
        <f>IF(MapWeight!K7&lt;&gt;0, SUM(L7:L9)/MapWeight!K7, "")</f>
        <v/>
      </c>
      <c r="M6" s="63" t="str">
        <f>IF(MapWeight!L7&lt;&gt;0, SUM(M7:M9)/MapWeight!L7, "")</f>
        <v/>
      </c>
      <c r="N6" s="63" t="str">
        <f>IF(MapWeight!M7&lt;&gt;0, SUM(N7:N9)/MapWeight!M7, "")</f>
        <v/>
      </c>
      <c r="O6" s="64">
        <f t="shared" si="1"/>
        <v>76.66666667</v>
      </c>
    </row>
    <row r="7">
      <c r="A7" s="65"/>
      <c r="B7" s="24" t="s">
        <v>55</v>
      </c>
      <c r="C7" s="66">
        <f>CLO_Attainments!C50</f>
        <v>55</v>
      </c>
      <c r="D7" s="67">
        <f>IF(MapWeight!C8&lt;&gt;"", $C$8*MapWeight!C8, "")</f>
        <v>70</v>
      </c>
      <c r="E7" s="68" t="str">
        <f>IF(MapWeight!D8&lt;&gt;"", $C$8*MapWeight!D8, "")</f>
        <v/>
      </c>
      <c r="F7" s="68" t="str">
        <f>IF(MapWeight!E8&lt;&gt;"", $C$8*MapWeight!E8, "")</f>
        <v/>
      </c>
      <c r="G7" s="68" t="str">
        <f>IF(MapWeight!F8&lt;&gt;"", $C$8*MapWeight!F8, "")</f>
        <v/>
      </c>
      <c r="H7" s="68" t="str">
        <f>IF(MapWeight!G8&lt;&gt;"", $C$8*MapWeight!G8, "")</f>
        <v/>
      </c>
      <c r="I7" s="68" t="str">
        <f>IF(MapWeight!H8&lt;&gt;"", $C$8*MapWeight!H8, "")</f>
        <v/>
      </c>
      <c r="J7" s="68" t="str">
        <f>IF(MapWeight!I8&lt;&gt;"", $C$8*MapWeight!I8, "")</f>
        <v/>
      </c>
      <c r="K7" s="68" t="str">
        <f>IF(MapWeight!J8&lt;&gt;"", $C$8*MapWeight!J8, "")</f>
        <v/>
      </c>
      <c r="L7" s="68" t="str">
        <f>IF(MapWeight!K8&lt;&gt;"", $C$8*MapWeight!K8, "")</f>
        <v/>
      </c>
      <c r="M7" s="68" t="str">
        <f>IF(MapWeight!L8&lt;&gt;"", $C$8*MapWeight!L8, "")</f>
        <v/>
      </c>
      <c r="N7" s="68" t="str">
        <f>IF(MapWeight!M8&lt;&gt;"", $C$8*MapWeight!M8, "")</f>
        <v/>
      </c>
      <c r="O7" s="69"/>
    </row>
    <row r="8">
      <c r="A8" s="65"/>
      <c r="B8" s="2" t="s">
        <v>61</v>
      </c>
      <c r="C8" s="70">
        <f>CLO_Attainments!D50</f>
        <v>70</v>
      </c>
      <c r="D8" s="71" t="str">
        <f>IF(MapWeight!C9&lt;&gt;"", $C$9*MapWeight!C9, "")</f>
        <v/>
      </c>
      <c r="E8" s="71">
        <f>IF(MapWeight!D9&lt;&gt;"", $C$9*MapWeight!D9, "")</f>
        <v>87.5</v>
      </c>
      <c r="F8" s="71" t="str">
        <f>IF(MapWeight!E9&lt;&gt;"", $C$9*MapWeight!E9, "")</f>
        <v/>
      </c>
      <c r="G8" s="72" t="str">
        <f>IF(MapWeight!F9&lt;&gt;"", $C$9*MapWeight!F9, "")</f>
        <v/>
      </c>
      <c r="H8" s="71" t="str">
        <f>IF(MapWeight!G9&lt;&gt;"", $C$9*MapWeight!G9, "")</f>
        <v/>
      </c>
      <c r="I8" s="71" t="str">
        <f>IF(MapWeight!H9&lt;&gt;"", $C$9*MapWeight!H9, "")</f>
        <v/>
      </c>
      <c r="J8" s="71" t="str">
        <f>IF(MapWeight!I9&lt;&gt;"", $C$9*MapWeight!I9, "")</f>
        <v/>
      </c>
      <c r="K8" s="71" t="str">
        <f>IF(MapWeight!J9&lt;&gt;"", $C$9*MapWeight!J9, "")</f>
        <v/>
      </c>
      <c r="L8" s="71" t="str">
        <f>IF(MapWeight!K9&lt;&gt;"", $C$9*MapWeight!K9, "")</f>
        <v/>
      </c>
      <c r="M8" s="71" t="str">
        <f>IF(MapWeight!L9&lt;&gt;"", $C$9*MapWeight!L9, "")</f>
        <v/>
      </c>
      <c r="N8" s="71" t="str">
        <f>IF(MapWeight!M9&lt;&gt;"", $C$9*MapWeight!M9, "")</f>
        <v/>
      </c>
      <c r="O8" s="69"/>
    </row>
    <row r="9">
      <c r="A9" s="73"/>
      <c r="B9" s="33" t="s">
        <v>65</v>
      </c>
      <c r="C9" s="74">
        <f>CLO_Attainments!E50</f>
        <v>87.5</v>
      </c>
      <c r="D9" s="75" t="str">
        <f>IF(MapWeight!C10&lt;&gt;"", $C$10*MapWeight!C10, "")</f>
        <v/>
      </c>
      <c r="E9" s="75" t="str">
        <f>IF(MapWeight!D10&lt;&gt;"", $C$10*MapWeight!D10, "")</f>
        <v/>
      </c>
      <c r="F9" s="75">
        <f>IF(MapWeight!E10&lt;&gt;"", $C$10*MapWeight!E10, "")</f>
        <v>72.5</v>
      </c>
      <c r="G9" s="75" t="str">
        <f>IF(MapWeight!F10&lt;&gt;"", $C$10*MapWeight!F10, "")</f>
        <v/>
      </c>
      <c r="H9" s="75" t="str">
        <f>IF(MapWeight!G10&lt;&gt;"", $C$10*MapWeight!G10, "")</f>
        <v/>
      </c>
      <c r="I9" s="75" t="str">
        <f>IF(MapWeight!H10&lt;&gt;"", $C$10*MapWeight!H10, "")</f>
        <v/>
      </c>
      <c r="J9" s="76" t="str">
        <f>IF(MapWeight!I10&lt;&gt;"", $C$10*MapWeight!I10, "")</f>
        <v/>
      </c>
      <c r="K9" s="75" t="str">
        <f>IF(MapWeight!J10&lt;&gt;"", $C$10*MapWeight!J10, "")</f>
        <v/>
      </c>
      <c r="L9" s="75" t="str">
        <f>IF(MapWeight!K10&lt;&gt;"", $C$10*MapWeight!K10, "")</f>
        <v/>
      </c>
      <c r="M9" s="75" t="str">
        <f>IF(MapWeight!L10&lt;&gt;"", $C$10*MapWeight!L10, "")</f>
        <v/>
      </c>
      <c r="N9" s="75" t="str">
        <f>IF(MapWeight!M10&lt;&gt;"", $C$10*MapWeight!M10, "")</f>
        <v/>
      </c>
      <c r="O9" s="69"/>
    </row>
    <row r="10">
      <c r="A10" s="60" t="s">
        <v>16</v>
      </c>
      <c r="B10" s="39"/>
      <c r="C10" s="61">
        <f>AVERAGE(C11:C13)</f>
        <v>72.5</v>
      </c>
      <c r="D10" s="63">
        <f>IF(MapWeight!C11&lt;&gt;0, SUM(D11:D13)/MapWeight!C11, "")</f>
        <v>67.5</v>
      </c>
      <c r="E10" s="62">
        <f>IF(MapWeight!D11&lt;&gt;0, SUM(E11:E13)/MapWeight!D11, "")</f>
        <v>80</v>
      </c>
      <c r="F10" s="63">
        <f>IF(MapWeight!E11&lt;&gt;0, SUM(F11:F13)/MapWeight!E11, "")</f>
        <v>71.66666667</v>
      </c>
      <c r="G10" s="63" t="str">
        <f>IF(MapWeight!F11&lt;&gt;0, SUM(G11:G13)/MapWeight!F11, "")</f>
        <v/>
      </c>
      <c r="H10" s="62" t="str">
        <f>IF(MapWeight!G11&lt;&gt;0, SUM(H11:H13)/MapWeight!G11, "")</f>
        <v/>
      </c>
      <c r="I10" s="63" t="str">
        <f>IF(MapWeight!H11&lt;&gt;0, SUM(I11:I13)/MapWeight!H11, "")</f>
        <v/>
      </c>
      <c r="J10" s="63" t="str">
        <f>IF(MapWeight!I11&lt;&gt;0, SUM(J11:J13)/MapWeight!I11, "")</f>
        <v/>
      </c>
      <c r="K10" s="62" t="str">
        <f>IF(MapWeight!J11&lt;&gt;0, SUM(K11:K13)/MapWeight!J11, "")</f>
        <v/>
      </c>
      <c r="L10" s="63" t="str">
        <f>IF(MapWeight!K11&lt;&gt;0, SUM(L11:L13)/MapWeight!K11, "")</f>
        <v/>
      </c>
      <c r="M10" s="63" t="str">
        <f>IF(MapWeight!L11&lt;&gt;0, SUM(M11:M13)/MapWeight!L11, "")</f>
        <v/>
      </c>
      <c r="N10" s="63" t="str">
        <f>IF(MapWeight!M11&lt;&gt;0, SUM(N11:N13)/MapWeight!M11, "")</f>
        <v/>
      </c>
      <c r="O10" s="64">
        <f>AVERAGE(D10:N10)</f>
        <v>73.05555556</v>
      </c>
    </row>
    <row r="11">
      <c r="A11" s="65"/>
      <c r="B11" s="24" t="s">
        <v>55</v>
      </c>
      <c r="C11" s="66">
        <f>CLO_Attainments!F50</f>
        <v>70</v>
      </c>
      <c r="D11" s="68">
        <f>IF(MapWeight!C12&lt;&gt;"", $C$12*MapWeight!C12, "")</f>
        <v>67.5</v>
      </c>
      <c r="E11" s="67" t="str">
        <f>IF(MapWeight!D12&lt;&gt;"", $C$12*MapWeight!D12, "")</f>
        <v/>
      </c>
      <c r="F11" s="68" t="str">
        <f>IF(MapWeight!E12&lt;&gt;"", $C$12*MapWeight!E12, "")</f>
        <v/>
      </c>
      <c r="G11" s="68" t="str">
        <f>IF(MapWeight!F12&lt;&gt;"", $C$12*MapWeight!F12, "")</f>
        <v/>
      </c>
      <c r="H11" s="68" t="str">
        <f>IF(MapWeight!G12&lt;&gt;"", $C$12*MapWeight!G12, "")</f>
        <v/>
      </c>
      <c r="I11" s="68" t="str">
        <f>IF(MapWeight!H12&lt;&gt;"", $C$12*MapWeight!H12, "")</f>
        <v/>
      </c>
      <c r="J11" s="68" t="str">
        <f>IF(MapWeight!I12&lt;&gt;"", $C$12*MapWeight!I12, "")</f>
        <v/>
      </c>
      <c r="K11" s="68" t="str">
        <f>IF(MapWeight!J12&lt;&gt;"", $C$12*MapWeight!J12, "")</f>
        <v/>
      </c>
      <c r="L11" s="68" t="str">
        <f>IF(MapWeight!K12&lt;&gt;"", $C$12*MapWeight!K12, "")</f>
        <v/>
      </c>
      <c r="M11" s="68" t="str">
        <f>IF(MapWeight!L12&lt;&gt;"", $C$12*MapWeight!L12, "")</f>
        <v/>
      </c>
      <c r="N11" s="68" t="str">
        <f>IF(MapWeight!M12&lt;&gt;"", $C$12*MapWeight!M12, "")</f>
        <v/>
      </c>
      <c r="O11" s="69"/>
    </row>
    <row r="12">
      <c r="A12" s="65"/>
      <c r="B12" s="2" t="s">
        <v>61</v>
      </c>
      <c r="C12" s="70">
        <f>CLO_Attainments!G50</f>
        <v>67.5</v>
      </c>
      <c r="D12" s="71" t="str">
        <f>IF(MapWeight!C13&lt;&gt;"", $C$13*MapWeight!C13, "")</f>
        <v/>
      </c>
      <c r="E12" s="71">
        <f>IF(MapWeight!D13&lt;&gt;"", $C$13*MapWeight!D13, "")</f>
        <v>80</v>
      </c>
      <c r="F12" s="71" t="str">
        <f>IF(MapWeight!E13&lt;&gt;"", $C$13*MapWeight!E13, "")</f>
        <v/>
      </c>
      <c r="G12" s="71" t="str">
        <f>IF(MapWeight!F13&lt;&gt;"", $C$13*MapWeight!F13, "")</f>
        <v/>
      </c>
      <c r="H12" s="72" t="str">
        <f>IF(MapWeight!G13&lt;&gt;"", $C$13*MapWeight!G13, "")</f>
        <v/>
      </c>
      <c r="I12" s="71" t="str">
        <f>IF(MapWeight!H13&lt;&gt;"", $C$13*MapWeight!H13, "")</f>
        <v/>
      </c>
      <c r="J12" s="71" t="str">
        <f>IF(MapWeight!I13&lt;&gt;"", $C$13*MapWeight!I13, "")</f>
        <v/>
      </c>
      <c r="K12" s="71" t="str">
        <f>IF(MapWeight!J13&lt;&gt;"", $C$13*MapWeight!J13, "")</f>
        <v/>
      </c>
      <c r="L12" s="71" t="str">
        <f>IF(MapWeight!K13&lt;&gt;"", $C$13*MapWeight!K13, "")</f>
        <v/>
      </c>
      <c r="M12" s="71" t="str">
        <f>IF(MapWeight!L13&lt;&gt;"", $C$13*MapWeight!L13, "")</f>
        <v/>
      </c>
      <c r="N12" s="71" t="str">
        <f>IF(MapWeight!M13&lt;&gt;"", $C$13*MapWeight!M13, "")</f>
        <v/>
      </c>
      <c r="O12" s="69"/>
    </row>
    <row r="13">
      <c r="A13" s="73"/>
      <c r="B13" s="33" t="s">
        <v>65</v>
      </c>
      <c r="C13" s="74">
        <f>CLO_Attainments!H50</f>
        <v>80</v>
      </c>
      <c r="D13" s="75" t="str">
        <f>IF(MapWeight!C14&lt;&gt;"", $C$14*MapWeight!C14, "")</f>
        <v/>
      </c>
      <c r="E13" s="75" t="str">
        <f>IF(MapWeight!D14&lt;&gt;"", $C$14*MapWeight!D14, "")</f>
        <v/>
      </c>
      <c r="F13" s="75">
        <f>IF(MapWeight!E14&lt;&gt;"", $C$14*MapWeight!E14, "")</f>
        <v>71.66666667</v>
      </c>
      <c r="G13" s="75" t="str">
        <f>IF(MapWeight!F14&lt;&gt;"", $C$14*MapWeight!F14, "")</f>
        <v/>
      </c>
      <c r="H13" s="75" t="str">
        <f>IF(MapWeight!G14&lt;&gt;"", $C$14*MapWeight!G14, "")</f>
        <v/>
      </c>
      <c r="I13" s="75" t="str">
        <f>IF(MapWeight!H14&lt;&gt;"", $C$14*MapWeight!H14, "")</f>
        <v/>
      </c>
      <c r="J13" s="75" t="str">
        <f>IF(MapWeight!I14&lt;&gt;"", $C$14*MapWeight!I14, "")</f>
        <v/>
      </c>
      <c r="K13" s="76" t="str">
        <f>IF(MapWeight!J14&lt;&gt;"", $C$14*MapWeight!J14, "")</f>
        <v/>
      </c>
      <c r="L13" s="75" t="str">
        <f>IF(MapWeight!K14&lt;&gt;"", $C$14*MapWeight!K14, "")</f>
        <v/>
      </c>
      <c r="M13" s="75" t="str">
        <f>IF(MapWeight!L14&lt;&gt;"", $C$14*MapWeight!L14, "")</f>
        <v/>
      </c>
      <c r="N13" s="75" t="str">
        <f>IF(MapWeight!M14&lt;&gt;"", $C$14*MapWeight!M14, "")</f>
        <v/>
      </c>
      <c r="O13" s="69"/>
    </row>
    <row r="14">
      <c r="A14" s="60" t="s">
        <v>18</v>
      </c>
      <c r="B14" s="39"/>
      <c r="C14" s="61">
        <f>AVERAGE(C15:C17)</f>
        <v>71.66666667</v>
      </c>
      <c r="D14" s="63">
        <f>IF(MapWeight!C15&lt;&gt;0, SUM(D15:D17)/MapWeight!C15, "")</f>
        <v>67.5</v>
      </c>
      <c r="E14" s="63">
        <f>IF(MapWeight!D15&lt;&gt;0, SUM(E15:E17)/MapWeight!D15, "")</f>
        <v>70</v>
      </c>
      <c r="F14" s="77">
        <f>IF(MapWeight!E15&lt;&gt;0, SUM(F15:F17)/MapWeight!E15, "")</f>
        <v>74.16666667</v>
      </c>
      <c r="G14" s="63" t="str">
        <f>IF(MapWeight!F15&lt;&gt;0, SUM(G15:G17)/MapWeight!F15, "")</f>
        <v/>
      </c>
      <c r="H14" s="63" t="str">
        <f>IF(MapWeight!G15&lt;&gt;0, SUM(H15:H17)/MapWeight!G15, "")</f>
        <v/>
      </c>
      <c r="I14" s="77" t="str">
        <f>IF(MapWeight!H15&lt;&gt;0, SUM(I15:I17)/MapWeight!H15, "")</f>
        <v/>
      </c>
      <c r="J14" s="63" t="str">
        <f>IF(MapWeight!I15&lt;&gt;0, SUM(J15:J17)/MapWeight!I15, "")</f>
        <v/>
      </c>
      <c r="K14" s="63" t="str">
        <f>IF(MapWeight!J15&lt;&gt;0, SUM(K15:K17)/MapWeight!J15, "")</f>
        <v/>
      </c>
      <c r="L14" s="77" t="str">
        <f>IF(MapWeight!K15&lt;&gt;0, SUM(L15:L17)/MapWeight!K15, "")</f>
        <v/>
      </c>
      <c r="M14" s="63" t="str">
        <f>IF(MapWeight!L15&lt;&gt;0, SUM(M15:M17)/MapWeight!L15, "")</f>
        <v/>
      </c>
      <c r="N14" s="63" t="str">
        <f>IF(MapWeight!M15&lt;&gt;0, SUM(N15:N17)/MapWeight!M15, "")</f>
        <v/>
      </c>
      <c r="O14" s="64">
        <f>AVERAGE(D14:N14)</f>
        <v>70.55555556</v>
      </c>
    </row>
    <row r="15">
      <c r="A15" s="65"/>
      <c r="B15" s="24" t="s">
        <v>55</v>
      </c>
      <c r="C15" s="66">
        <f>CLO_Attainments!I50</f>
        <v>77.5</v>
      </c>
      <c r="D15" s="68">
        <f>IF(MapWeight!C16&lt;&gt;"", $C$16*MapWeight!C16, "")</f>
        <v>67.5</v>
      </c>
      <c r="E15" s="68" t="str">
        <f>IF(MapWeight!D16&lt;&gt;"", $C$16*MapWeight!D16, "")</f>
        <v/>
      </c>
      <c r="F15" s="67" t="str">
        <f>IF(MapWeight!E16&lt;&gt;"", $C$16*MapWeight!E16, "")</f>
        <v/>
      </c>
      <c r="G15" s="68" t="str">
        <f>IF(MapWeight!F16&lt;&gt;"", $C$16*MapWeight!F16, "")</f>
        <v/>
      </c>
      <c r="H15" s="68" t="str">
        <f>IF(MapWeight!G16&lt;&gt;"", $C$16*MapWeight!G16, "")</f>
        <v/>
      </c>
      <c r="I15" s="68" t="str">
        <f>IF(MapWeight!H16&lt;&gt;"", $C$16*MapWeight!H16, "")</f>
        <v/>
      </c>
      <c r="J15" s="68" t="str">
        <f>IF(MapWeight!I16&lt;&gt;"", $C$16*MapWeight!I16, "")</f>
        <v/>
      </c>
      <c r="K15" s="68" t="str">
        <f>IF(MapWeight!J16&lt;&gt;"", $C$16*MapWeight!J16, "")</f>
        <v/>
      </c>
      <c r="L15" s="68" t="str">
        <f>IF(MapWeight!K16&lt;&gt;"", $C$16*MapWeight!K16, "")</f>
        <v/>
      </c>
      <c r="M15" s="68" t="str">
        <f>IF(MapWeight!L16&lt;&gt;"", $C$16*MapWeight!L16, "")</f>
        <v/>
      </c>
      <c r="N15" s="68" t="str">
        <f>IF(MapWeight!M16&lt;&gt;"", $C$16*MapWeight!M16, "")</f>
        <v/>
      </c>
      <c r="O15" s="69"/>
    </row>
    <row r="16">
      <c r="A16" s="65"/>
      <c r="B16" s="2" t="s">
        <v>61</v>
      </c>
      <c r="C16" s="70">
        <f>CLO_Attainments!J50</f>
        <v>67.5</v>
      </c>
      <c r="D16" s="71" t="str">
        <f>IF(MapWeight!C17&lt;&gt;"", $C$17*MapWeight!C17, "")</f>
        <v/>
      </c>
      <c r="E16" s="71">
        <f>IF(MapWeight!D17&lt;&gt;"", $C$17*MapWeight!D17, "")</f>
        <v>70</v>
      </c>
      <c r="F16" s="71" t="str">
        <f>IF(MapWeight!E17&lt;&gt;"", $C$17*MapWeight!E17, "")</f>
        <v/>
      </c>
      <c r="G16" s="71" t="str">
        <f>IF(MapWeight!F17&lt;&gt;"", $C$17*MapWeight!F17, "")</f>
        <v/>
      </c>
      <c r="H16" s="71" t="str">
        <f>IF(MapWeight!G17&lt;&gt;"", $C$17*MapWeight!G17, "")</f>
        <v/>
      </c>
      <c r="I16" s="72" t="str">
        <f>IF(MapWeight!H17&lt;&gt;"", $C$17*MapWeight!H17, "")</f>
        <v/>
      </c>
      <c r="J16" s="71" t="str">
        <f>IF(MapWeight!I17&lt;&gt;"", $C$17*MapWeight!I17, "")</f>
        <v/>
      </c>
      <c r="K16" s="71" t="str">
        <f>IF(MapWeight!J17&lt;&gt;"", $C$17*MapWeight!J17, "")</f>
        <v/>
      </c>
      <c r="L16" s="71" t="str">
        <f>IF(MapWeight!K17&lt;&gt;"", $C$17*MapWeight!K17, "")</f>
        <v/>
      </c>
      <c r="M16" s="71" t="str">
        <f>IF(MapWeight!L17&lt;&gt;"", $C$17*MapWeight!L17, "")</f>
        <v/>
      </c>
      <c r="N16" s="71" t="str">
        <f>IF(MapWeight!M17&lt;&gt;"", $C$17*MapWeight!M17, "")</f>
        <v/>
      </c>
      <c r="O16" s="69"/>
    </row>
    <row r="17">
      <c r="A17" s="73"/>
      <c r="B17" s="33" t="s">
        <v>65</v>
      </c>
      <c r="C17" s="74">
        <f>CLO_Attainments!K50</f>
        <v>70</v>
      </c>
      <c r="D17" s="75" t="str">
        <f>IF(MapWeight!C18&lt;&gt;"", $C$18*MapWeight!C18, "")</f>
        <v/>
      </c>
      <c r="E17" s="75" t="str">
        <f>IF(MapWeight!D18&lt;&gt;"", $C$18*MapWeight!D18, "")</f>
        <v/>
      </c>
      <c r="F17" s="75">
        <f>IF(MapWeight!E18&lt;&gt;"", $C$18*MapWeight!E18, "")</f>
        <v>74.16666667</v>
      </c>
      <c r="G17" s="75" t="str">
        <f>IF(MapWeight!F18&lt;&gt;"", $C$18*MapWeight!F18, "")</f>
        <v/>
      </c>
      <c r="H17" s="75" t="str">
        <f>IF(MapWeight!G18&lt;&gt;"", $C$18*MapWeight!G18, "")</f>
        <v/>
      </c>
      <c r="I17" s="75" t="str">
        <f>IF(MapWeight!H18&lt;&gt;"", $C$18*MapWeight!H18, "")</f>
        <v/>
      </c>
      <c r="J17" s="75" t="str">
        <f>IF(MapWeight!I18&lt;&gt;"", $C$18*MapWeight!I18, "")</f>
        <v/>
      </c>
      <c r="K17" s="75" t="str">
        <f>IF(MapWeight!J18&lt;&gt;"", $C$18*MapWeight!J18, "")</f>
        <v/>
      </c>
      <c r="L17" s="76" t="str">
        <f>IF(MapWeight!K18&lt;&gt;"", $C$18*MapWeight!K18, "")</f>
        <v/>
      </c>
      <c r="M17" s="75" t="str">
        <f>IF(MapWeight!L18&lt;&gt;"", $C$18*MapWeight!L18, "")</f>
        <v/>
      </c>
      <c r="N17" s="75" t="str">
        <f>IF(MapWeight!M18&lt;&gt;"", $C$18*MapWeight!M18, "")</f>
        <v/>
      </c>
      <c r="O17" s="69"/>
    </row>
    <row r="18">
      <c r="A18" s="60" t="s">
        <v>21</v>
      </c>
      <c r="B18" s="39"/>
      <c r="C18" s="61">
        <f>AVERAGE(C19:C21)</f>
        <v>74.16666667</v>
      </c>
      <c r="D18" s="62">
        <f>IF(MapWeight!C19&lt;&gt;0, SUM(D19:D21)/MapWeight!C19, "")</f>
        <v>77.5</v>
      </c>
      <c r="E18" s="63">
        <f>IF(MapWeight!D19&lt;&gt;0, SUM(E19:E21)/MapWeight!D19, "")</f>
        <v>72.5</v>
      </c>
      <c r="F18" s="63">
        <f>IF(MapWeight!E19&lt;&gt;0, SUM(F19:F21)/MapWeight!E19, "")</f>
        <v>73.33333333</v>
      </c>
      <c r="G18" s="62" t="str">
        <f>IF(MapWeight!F19&lt;&gt;0, SUM(G19:G21)/MapWeight!F19, "")</f>
        <v/>
      </c>
      <c r="H18" s="63" t="str">
        <f>IF(MapWeight!G19&lt;&gt;0, SUM(H19:H21)/MapWeight!G19, "")</f>
        <v/>
      </c>
      <c r="I18" s="63" t="str">
        <f>IF(MapWeight!H19&lt;&gt;0, SUM(I19:I21)/MapWeight!H19, "")</f>
        <v/>
      </c>
      <c r="J18" s="62" t="str">
        <f>IF(MapWeight!I19&lt;&gt;0, SUM(J19:J21)/MapWeight!I19, "")</f>
        <v/>
      </c>
      <c r="K18" s="63" t="str">
        <f>IF(MapWeight!J19&lt;&gt;0, SUM(K19:K21)/MapWeight!J19, "")</f>
        <v/>
      </c>
      <c r="L18" s="63" t="str">
        <f>IF(MapWeight!K19&lt;&gt;0, SUM(L19:L21)/MapWeight!K19, "")</f>
        <v/>
      </c>
      <c r="M18" s="63" t="str">
        <f>IF(MapWeight!L19&lt;&gt;0, SUM(M19:M21)/MapWeight!L19, "")</f>
        <v/>
      </c>
      <c r="N18" s="63" t="str">
        <f>IF(MapWeight!M19&lt;&gt;0, SUM(N19:N21)/MapWeight!M19, "")</f>
        <v/>
      </c>
      <c r="O18" s="64">
        <f>AVERAGE(D18:N18)</f>
        <v>74.44444444</v>
      </c>
    </row>
    <row r="19">
      <c r="A19" s="65"/>
      <c r="B19" s="24" t="s">
        <v>55</v>
      </c>
      <c r="C19" s="66">
        <f>CLO_Attainments!L50</f>
        <v>72.5</v>
      </c>
      <c r="D19" s="67">
        <f>IF(MapWeight!C20&lt;&gt;"", $C$20*MapWeight!C20, "")</f>
        <v>155</v>
      </c>
      <c r="E19" s="68" t="str">
        <f>IF(MapWeight!D20&lt;&gt;"", $C$20*MapWeight!D20, "")</f>
        <v/>
      </c>
      <c r="F19" s="68" t="str">
        <f>IF(MapWeight!E20&lt;&gt;"", $C$20*MapWeight!E20, "")</f>
        <v/>
      </c>
      <c r="G19" s="68" t="str">
        <f>IF(MapWeight!F20&lt;&gt;"", $C$20*MapWeight!F20, "")</f>
        <v/>
      </c>
      <c r="H19" s="68" t="str">
        <f>IF(MapWeight!G20&lt;&gt;"", $C$20*MapWeight!G20, "")</f>
        <v/>
      </c>
      <c r="I19" s="68" t="str">
        <f>IF(MapWeight!H20&lt;&gt;"", $C$20*MapWeight!H20, "")</f>
        <v/>
      </c>
      <c r="J19" s="68" t="str">
        <f>IF(MapWeight!I20&lt;&gt;"", $C$20*MapWeight!I20, "")</f>
        <v/>
      </c>
      <c r="K19" s="68" t="str">
        <f>IF(MapWeight!J20&lt;&gt;"", $C$20*MapWeight!J20, "")</f>
        <v/>
      </c>
      <c r="L19" s="68" t="str">
        <f>IF(MapWeight!K20&lt;&gt;"", $C$20*MapWeight!K20, "")</f>
        <v/>
      </c>
      <c r="M19" s="68" t="str">
        <f>IF(MapWeight!L20&lt;&gt;"", $C$20*MapWeight!L20, "")</f>
        <v/>
      </c>
      <c r="N19" s="68" t="str">
        <f>IF(MapWeight!M20&lt;&gt;"", $C$20*MapWeight!M20, "")</f>
        <v/>
      </c>
      <c r="O19" s="69"/>
    </row>
    <row r="20">
      <c r="A20" s="65"/>
      <c r="B20" s="2" t="s">
        <v>61</v>
      </c>
      <c r="C20" s="70">
        <f>CLO_Attainments!M50</f>
        <v>77.5</v>
      </c>
      <c r="D20" s="71" t="str">
        <f>IF(MapWeight!C21&lt;&gt;"", $C$21*MapWeight!C21, "")</f>
        <v/>
      </c>
      <c r="E20" s="71">
        <f>IF(MapWeight!D21&lt;&gt;"", $C$21*MapWeight!D21, "")</f>
        <v>145</v>
      </c>
      <c r="F20" s="71" t="str">
        <f>IF(MapWeight!E21&lt;&gt;"", $C$21*MapWeight!E21, "")</f>
        <v/>
      </c>
      <c r="G20" s="72" t="str">
        <f>IF(MapWeight!F21&lt;&gt;"", $C$21*MapWeight!F21, "")</f>
        <v/>
      </c>
      <c r="H20" s="71" t="str">
        <f>IF(MapWeight!G21&lt;&gt;"", $C$21*MapWeight!G21, "")</f>
        <v/>
      </c>
      <c r="I20" s="71" t="str">
        <f>IF(MapWeight!H21&lt;&gt;"", $C$21*MapWeight!H21, "")</f>
        <v/>
      </c>
      <c r="J20" s="71" t="str">
        <f>IF(MapWeight!I21&lt;&gt;"", $C$21*MapWeight!I21, "")</f>
        <v/>
      </c>
      <c r="K20" s="71" t="str">
        <f>IF(MapWeight!J21&lt;&gt;"", $C$21*MapWeight!J21, "")</f>
        <v/>
      </c>
      <c r="L20" s="71" t="str">
        <f>IF(MapWeight!K21&lt;&gt;"", $C$21*MapWeight!K21, "")</f>
        <v/>
      </c>
      <c r="M20" s="71" t="str">
        <f>IF(MapWeight!L21&lt;&gt;"", $C$21*MapWeight!L21, "")</f>
        <v/>
      </c>
      <c r="N20" s="71" t="str">
        <f>IF(MapWeight!M21&lt;&gt;"", $C$21*MapWeight!M21, "")</f>
        <v/>
      </c>
      <c r="O20" s="69"/>
    </row>
    <row r="21">
      <c r="A21" s="73"/>
      <c r="B21" s="33" t="s">
        <v>65</v>
      </c>
      <c r="C21" s="74">
        <f>CLO_Attainments!N50</f>
        <v>72.5</v>
      </c>
      <c r="D21" s="75" t="str">
        <f>IF(MapWeight!C22&lt;&gt;"", $C$22*MapWeight!C22, "")</f>
        <v/>
      </c>
      <c r="E21" s="75" t="str">
        <f>IF(MapWeight!D22&lt;&gt;"", $C$22*MapWeight!D22, "")</f>
        <v/>
      </c>
      <c r="F21" s="75">
        <f>IF(MapWeight!E22&lt;&gt;"", $C$22*MapWeight!E22, "")</f>
        <v>146.6666667</v>
      </c>
      <c r="G21" s="75" t="str">
        <f>IF(MapWeight!F22&lt;&gt;"", $C$22*MapWeight!F22, "")</f>
        <v/>
      </c>
      <c r="H21" s="75" t="str">
        <f>IF(MapWeight!G22&lt;&gt;"", $C$22*MapWeight!G22, "")</f>
        <v/>
      </c>
      <c r="I21" s="75" t="str">
        <f>IF(MapWeight!H22&lt;&gt;"", $C$22*MapWeight!H22, "")</f>
        <v/>
      </c>
      <c r="J21" s="76" t="str">
        <f>IF(MapWeight!I22&lt;&gt;"", $C$22*MapWeight!I22, "")</f>
        <v/>
      </c>
      <c r="K21" s="75" t="str">
        <f>IF(MapWeight!J22&lt;&gt;"", $C$22*MapWeight!J22, "")</f>
        <v/>
      </c>
      <c r="L21" s="75" t="str">
        <f>IF(MapWeight!K22&lt;&gt;"", $C$22*MapWeight!K22, "")</f>
        <v/>
      </c>
      <c r="M21" s="75" t="str">
        <f>IF(MapWeight!L22&lt;&gt;"", $C$22*MapWeight!L22, "")</f>
        <v/>
      </c>
      <c r="N21" s="75" t="str">
        <f>IF(MapWeight!M22&lt;&gt;"", $C$22*MapWeight!M22, "")</f>
        <v/>
      </c>
      <c r="O21" s="69"/>
    </row>
    <row r="22">
      <c r="A22" s="60" t="s">
        <v>24</v>
      </c>
      <c r="B22" s="39"/>
      <c r="C22" s="61">
        <f>AVERAGE(C23:C25)</f>
        <v>73.33333333</v>
      </c>
      <c r="D22" s="63">
        <f>IF(MapWeight!C23&lt;&gt;0, SUM(D23:D25)/MapWeight!C23, "")</f>
        <v>77.5</v>
      </c>
      <c r="E22" s="77">
        <f>IF(MapWeight!D23&lt;&gt;0, SUM(E23:E25)/MapWeight!D23, "")</f>
        <v>72.5</v>
      </c>
      <c r="F22" s="63">
        <f>IF(MapWeight!E23&lt;&gt;0, SUM(F23:F25)/MapWeight!E23, "")</f>
        <v>73.33333333</v>
      </c>
      <c r="G22" s="63" t="str">
        <f>IF(MapWeight!F23&lt;&gt;0, SUM(G23:G25)/MapWeight!F23, "")</f>
        <v/>
      </c>
      <c r="H22" s="77" t="str">
        <f>IF(MapWeight!G23&lt;&gt;0, SUM(H23:H25)/MapWeight!G23, "")</f>
        <v/>
      </c>
      <c r="I22" s="63" t="str">
        <f>IF(MapWeight!H23&lt;&gt;0, SUM(I23:I25)/MapWeight!H23, "")</f>
        <v/>
      </c>
      <c r="J22" s="63" t="str">
        <f>IF(MapWeight!I23&lt;&gt;0, SUM(J23:J25)/MapWeight!I23, "")</f>
        <v/>
      </c>
      <c r="K22" s="77" t="str">
        <f>IF(MapWeight!J23&lt;&gt;0, SUM(K23:K25)/MapWeight!J23, "")</f>
        <v/>
      </c>
      <c r="L22" s="63" t="str">
        <f>IF(MapWeight!K23&lt;&gt;0, SUM(L23:L25)/MapWeight!K23, "")</f>
        <v/>
      </c>
      <c r="M22" s="63" t="str">
        <f>IF(MapWeight!L23&lt;&gt;0, SUM(M23:M25)/MapWeight!L23, "")</f>
        <v/>
      </c>
      <c r="N22" s="63" t="str">
        <f>IF(MapWeight!M23&lt;&gt;0, SUM(N23:N25)/MapWeight!M23, "")</f>
        <v/>
      </c>
      <c r="O22" s="64">
        <f>AVERAGE(D22:N22)</f>
        <v>74.44444444</v>
      </c>
    </row>
    <row r="23">
      <c r="A23" s="65"/>
      <c r="B23" s="24" t="s">
        <v>55</v>
      </c>
      <c r="C23" s="66">
        <f>CLO_Attainments!O50</f>
        <v>75</v>
      </c>
      <c r="D23" s="68">
        <f>IF(MapWeight!C24&lt;&gt;"", $C$20*MapWeight!C24, "")</f>
        <v>155</v>
      </c>
      <c r="E23" s="67" t="str">
        <f>IF(MapWeight!D24&lt;&gt;"", $C$20*MapWeight!D24, "")</f>
        <v/>
      </c>
      <c r="F23" s="68" t="str">
        <f>IF(MapWeight!E24&lt;&gt;"", $C$20*MapWeight!E24, "")</f>
        <v/>
      </c>
      <c r="G23" s="68" t="str">
        <f>IF(MapWeight!F24&lt;&gt;"", $C$20*MapWeight!F24, "")</f>
        <v/>
      </c>
      <c r="H23" s="68" t="str">
        <f>IF(MapWeight!G24&lt;&gt;"", $C$20*MapWeight!G24, "")</f>
        <v/>
      </c>
      <c r="I23" s="68" t="str">
        <f>IF(MapWeight!H24&lt;&gt;"", $C$20*MapWeight!H24, "")</f>
        <v/>
      </c>
      <c r="J23" s="68" t="str">
        <f>IF(MapWeight!I24&lt;&gt;"", $C$20*MapWeight!I24, "")</f>
        <v/>
      </c>
      <c r="K23" s="68" t="str">
        <f>IF(MapWeight!J24&lt;&gt;"", $C$20*MapWeight!J24, "")</f>
        <v/>
      </c>
      <c r="L23" s="68" t="str">
        <f>IF(MapWeight!K24&lt;&gt;"", $C$20*MapWeight!K24, "")</f>
        <v/>
      </c>
      <c r="M23" s="68" t="str">
        <f>IF(MapWeight!L24&lt;&gt;"", $C$20*MapWeight!L24, "")</f>
        <v/>
      </c>
      <c r="N23" s="68" t="str">
        <f>IF(MapWeight!M24&lt;&gt;"", $C$20*MapWeight!M24, "")</f>
        <v/>
      </c>
    </row>
    <row r="24">
      <c r="A24" s="65"/>
      <c r="B24" s="2" t="s">
        <v>61</v>
      </c>
      <c r="C24" s="70">
        <f>CLO_Attainments!P50</f>
        <v>72.5</v>
      </c>
      <c r="D24" s="71" t="str">
        <f>IF(MapWeight!C25&lt;&gt;"", $C$21*MapWeight!C25, "")</f>
        <v/>
      </c>
      <c r="E24" s="71">
        <f>IF(MapWeight!D25&lt;&gt;"", $C$21*MapWeight!D25, "")</f>
        <v>145</v>
      </c>
      <c r="F24" s="71" t="str">
        <f>IF(MapWeight!E25&lt;&gt;"", $C$21*MapWeight!E25, "")</f>
        <v/>
      </c>
      <c r="G24" s="71" t="str">
        <f>IF(MapWeight!F25&lt;&gt;"", $C$21*MapWeight!F25, "")</f>
        <v/>
      </c>
      <c r="H24" s="72" t="str">
        <f>IF(MapWeight!G25&lt;&gt;"", $C$21*MapWeight!G25, "")</f>
        <v/>
      </c>
      <c r="I24" s="71" t="str">
        <f>IF(MapWeight!H25&lt;&gt;"", $C$21*MapWeight!H25, "")</f>
        <v/>
      </c>
      <c r="J24" s="71" t="str">
        <f>IF(MapWeight!I25&lt;&gt;"", $C$21*MapWeight!I25, "")</f>
        <v/>
      </c>
      <c r="K24" s="71" t="str">
        <f>IF(MapWeight!J25&lt;&gt;"", $C$21*MapWeight!J25, "")</f>
        <v/>
      </c>
      <c r="L24" s="71" t="str">
        <f>IF(MapWeight!K25&lt;&gt;"", $C$21*MapWeight!K25, "")</f>
        <v/>
      </c>
      <c r="M24" s="71" t="str">
        <f>IF(MapWeight!L25&lt;&gt;"", $C$21*MapWeight!L25, "")</f>
        <v/>
      </c>
      <c r="N24" s="71" t="str">
        <f>IF(MapWeight!M25&lt;&gt;"", $C$21*MapWeight!M25, "")</f>
        <v/>
      </c>
    </row>
    <row r="25">
      <c r="A25" s="73"/>
      <c r="B25" s="33" t="s">
        <v>65</v>
      </c>
      <c r="C25" s="74">
        <f>CLO_Attainments!Q50</f>
        <v>72.5</v>
      </c>
      <c r="D25" s="75" t="str">
        <f>IF(MapWeight!C26&lt;&gt;"", $C$22*MapWeight!C26, "")</f>
        <v/>
      </c>
      <c r="E25" s="75" t="str">
        <f>IF(MapWeight!D26&lt;&gt;"", $C$22*MapWeight!D26, "")</f>
        <v/>
      </c>
      <c r="F25" s="75">
        <f>IF(MapWeight!E26&lt;&gt;"", $C$22*MapWeight!E26, "")</f>
        <v>146.6666667</v>
      </c>
      <c r="G25" s="75" t="str">
        <f>IF(MapWeight!F26&lt;&gt;"", $C$22*MapWeight!F26, "")</f>
        <v/>
      </c>
      <c r="H25" s="75" t="str">
        <f>IF(MapWeight!G26&lt;&gt;"", $C$22*MapWeight!G26, "")</f>
        <v/>
      </c>
      <c r="I25" s="75" t="str">
        <f>IF(MapWeight!H26&lt;&gt;"", $C$22*MapWeight!H26, "")</f>
        <v/>
      </c>
      <c r="J25" s="75" t="str">
        <f>IF(MapWeight!I26&lt;&gt;"", $C$22*MapWeight!I26, "")</f>
        <v/>
      </c>
      <c r="K25" s="76" t="str">
        <f>IF(MapWeight!J26&lt;&gt;"", $C$22*MapWeight!J26, "")</f>
        <v/>
      </c>
      <c r="L25" s="75" t="str">
        <f>IF(MapWeight!K26&lt;&gt;"", $C$22*MapWeight!K26, "")</f>
        <v/>
      </c>
      <c r="M25" s="75" t="str">
        <f>IF(MapWeight!L26&lt;&gt;"", $C$22*MapWeight!L26, "")</f>
        <v/>
      </c>
      <c r="N25" s="75" t="str">
        <f>IF(MapWeight!M26&lt;&gt;"", $C$22*MapWeight!M26, "")</f>
        <v/>
      </c>
    </row>
    <row r="26">
      <c r="A26" s="60" t="s">
        <v>28</v>
      </c>
      <c r="B26" s="39"/>
      <c r="C26" s="61">
        <f>AVERAGE(C27:C29)</f>
        <v>71.66666667</v>
      </c>
      <c r="D26" s="63">
        <f>IF(MapWeight!C27&lt;&gt;0, SUM(D27:D29)/MapWeight!C27, "")</f>
        <v>77.5</v>
      </c>
      <c r="E26" s="63">
        <f>IF(MapWeight!D27&lt;&gt;0, SUM(E27:E29)/MapWeight!D27, "")</f>
        <v>72.5</v>
      </c>
      <c r="F26" s="62">
        <f>IF(MapWeight!E27&lt;&gt;0, SUM(F27:F29)/MapWeight!E27, "")</f>
        <v>73.33333333</v>
      </c>
      <c r="G26" s="63" t="str">
        <f>IF(MapWeight!F27&lt;&gt;0, SUM(G27:G29)/MapWeight!F27, "")</f>
        <v/>
      </c>
      <c r="H26" s="63" t="str">
        <f>IF(MapWeight!G27&lt;&gt;0, SUM(H27:H29)/MapWeight!G27, "")</f>
        <v/>
      </c>
      <c r="I26" s="62" t="str">
        <f>IF(MapWeight!H27&lt;&gt;0, SUM(I27:I29)/MapWeight!H27, "")</f>
        <v/>
      </c>
      <c r="J26" s="63" t="str">
        <f>IF(MapWeight!I27&lt;&gt;0, SUM(J27:J29)/MapWeight!I27, "")</f>
        <v/>
      </c>
      <c r="K26" s="63" t="str">
        <f>IF(MapWeight!J27&lt;&gt;0, SUM(K27:K29)/MapWeight!J27, "")</f>
        <v/>
      </c>
      <c r="L26" s="62" t="str">
        <f>IF(MapWeight!K27&lt;&gt;0, SUM(L27:L29)/MapWeight!K27, "")</f>
        <v/>
      </c>
      <c r="M26" s="63" t="str">
        <f>IF(MapWeight!L27&lt;&gt;0, SUM(M27:M29)/MapWeight!L27, "")</f>
        <v/>
      </c>
      <c r="N26" s="63" t="str">
        <f>IF(MapWeight!M27&lt;&gt;0, SUM(N27:N29)/MapWeight!M27, "")</f>
        <v/>
      </c>
      <c r="O26" s="64">
        <f>AVERAGE(D26:N26)</f>
        <v>74.44444444</v>
      </c>
    </row>
    <row r="27">
      <c r="A27" s="65"/>
      <c r="B27" s="24" t="s">
        <v>55</v>
      </c>
      <c r="C27" s="66">
        <f>CLO_Attainments!R50</f>
        <v>67.5</v>
      </c>
      <c r="D27" s="68">
        <f>IF(MapWeight!C28&lt;&gt;"", $C$20*MapWeight!C28, "")</f>
        <v>232.5</v>
      </c>
      <c r="E27" s="68" t="str">
        <f>IF(MapWeight!D28&lt;&gt;"", $C$20*MapWeight!D28, "")</f>
        <v/>
      </c>
      <c r="F27" s="67" t="str">
        <f>IF(MapWeight!E28&lt;&gt;"", $C$20*MapWeight!E28, "")</f>
        <v/>
      </c>
      <c r="G27" s="68" t="str">
        <f>IF(MapWeight!F28&lt;&gt;"", $C$20*MapWeight!F28, "")</f>
        <v/>
      </c>
      <c r="H27" s="68" t="str">
        <f>IF(MapWeight!G28&lt;&gt;"", $C$20*MapWeight!G28, "")</f>
        <v/>
      </c>
      <c r="I27" s="68" t="str">
        <f>IF(MapWeight!H28&lt;&gt;"", $C$20*MapWeight!H28, "")</f>
        <v/>
      </c>
      <c r="J27" s="68" t="str">
        <f>IF(MapWeight!I28&lt;&gt;"", $C$20*MapWeight!I28, "")</f>
        <v/>
      </c>
      <c r="K27" s="68" t="str">
        <f>IF(MapWeight!J28&lt;&gt;"", $C$20*MapWeight!J28, "")</f>
        <v/>
      </c>
      <c r="L27" s="68" t="str">
        <f>IF(MapWeight!K28&lt;&gt;"", $C$20*MapWeight!K28, "")</f>
        <v/>
      </c>
      <c r="M27" s="68" t="str">
        <f>IF(MapWeight!L28&lt;&gt;"", $C$20*MapWeight!L28, "")</f>
        <v/>
      </c>
      <c r="N27" s="68" t="str">
        <f>IF(MapWeight!M28&lt;&gt;"", $C$20*MapWeight!M28, "")</f>
        <v/>
      </c>
    </row>
    <row r="28">
      <c r="A28" s="65"/>
      <c r="B28" s="2" t="s">
        <v>61</v>
      </c>
      <c r="C28" s="70">
        <f>CLO_Attainments!S50</f>
        <v>85</v>
      </c>
      <c r="D28" s="71" t="str">
        <f>IF(MapWeight!C29&lt;&gt;"", $C$21*MapWeight!C29, "")</f>
        <v/>
      </c>
      <c r="E28" s="71">
        <f>IF(MapWeight!D29&lt;&gt;"", $C$21*MapWeight!D29, "")</f>
        <v>217.5</v>
      </c>
      <c r="F28" s="71" t="str">
        <f>IF(MapWeight!E29&lt;&gt;"", $C$21*MapWeight!E29, "")</f>
        <v/>
      </c>
      <c r="G28" s="71" t="str">
        <f>IF(MapWeight!F29&lt;&gt;"", $C$21*MapWeight!F29, "")</f>
        <v/>
      </c>
      <c r="H28" s="71" t="str">
        <f>IF(MapWeight!G29&lt;&gt;"", $C$21*MapWeight!G29, "")</f>
        <v/>
      </c>
      <c r="I28" s="72" t="str">
        <f>IF(MapWeight!H29&lt;&gt;"", $C$21*MapWeight!H29, "")</f>
        <v/>
      </c>
      <c r="J28" s="71" t="str">
        <f>IF(MapWeight!I29&lt;&gt;"", $C$21*MapWeight!I29, "")</f>
        <v/>
      </c>
      <c r="K28" s="71" t="str">
        <f>IF(MapWeight!J29&lt;&gt;"", $C$21*MapWeight!J29, "")</f>
        <v/>
      </c>
      <c r="L28" s="71" t="str">
        <f>IF(MapWeight!K29&lt;&gt;"", $C$21*MapWeight!K29, "")</f>
        <v/>
      </c>
      <c r="M28" s="71" t="str">
        <f>IF(MapWeight!L29&lt;&gt;"", $C$21*MapWeight!L29, "")</f>
        <v/>
      </c>
      <c r="N28" s="71" t="str">
        <f>IF(MapWeight!M29&lt;&gt;"", $C$21*MapWeight!M29, "")</f>
        <v/>
      </c>
    </row>
    <row r="29">
      <c r="A29" s="73"/>
      <c r="B29" s="33" t="s">
        <v>65</v>
      </c>
      <c r="C29" s="74">
        <f>CLO_Attainments!T50</f>
        <v>62.5</v>
      </c>
      <c r="D29" s="75" t="str">
        <f>IF(MapWeight!C30&lt;&gt;"", $C$22*MapWeight!C30, "")</f>
        <v/>
      </c>
      <c r="E29" s="75" t="str">
        <f>IF(MapWeight!D30&lt;&gt;"", $C$22*MapWeight!D30, "")</f>
        <v/>
      </c>
      <c r="F29" s="75">
        <f>IF(MapWeight!E30&lt;&gt;"", $C$22*MapWeight!E30, "")</f>
        <v>220</v>
      </c>
      <c r="G29" s="75" t="str">
        <f>IF(MapWeight!F30&lt;&gt;"", $C$22*MapWeight!F30, "")</f>
        <v/>
      </c>
      <c r="H29" s="75" t="str">
        <f>IF(MapWeight!G30&lt;&gt;"", $C$22*MapWeight!G30, "")</f>
        <v/>
      </c>
      <c r="I29" s="75" t="str">
        <f>IF(MapWeight!H30&lt;&gt;"", $C$22*MapWeight!H30, "")</f>
        <v/>
      </c>
      <c r="J29" s="75" t="str">
        <f>IF(MapWeight!I30&lt;&gt;"", $C$22*MapWeight!I30, "")</f>
        <v/>
      </c>
      <c r="K29" s="75" t="str">
        <f>IF(MapWeight!J30&lt;&gt;"", $C$22*MapWeight!J30, "")</f>
        <v/>
      </c>
      <c r="L29" s="76" t="str">
        <f>IF(MapWeight!K30&lt;&gt;"", $C$22*MapWeight!K30, "")</f>
        <v/>
      </c>
      <c r="M29" s="75" t="str">
        <f>IF(MapWeight!L30&lt;&gt;"", $C$22*MapWeight!L30, "")</f>
        <v/>
      </c>
      <c r="N29" s="75" t="str">
        <f>IF(MapWeight!M30&lt;&gt;"", $C$22*MapWeight!M30, "")</f>
        <v/>
      </c>
    </row>
    <row r="30">
      <c r="A30" s="60" t="s">
        <v>31</v>
      </c>
      <c r="B30" s="39"/>
      <c r="C30" s="61">
        <f>AVERAGE(C31:C33)</f>
        <v>73.33333333</v>
      </c>
      <c r="D30" s="63" t="str">
        <f>IF(MapWeight!C31&lt;&gt;0, SUM(D31:D33)/MapWeight!C31, "")</f>
        <v/>
      </c>
      <c r="E30" s="63" t="str">
        <f>IF(MapWeight!D31&lt;&gt;0, SUM(E31:E33)/MapWeight!D31, "")</f>
        <v/>
      </c>
      <c r="F30" s="63" t="str">
        <f>IF(MapWeight!E31&lt;&gt;0, SUM(F31:F33)/MapWeight!E31, "")</f>
        <v/>
      </c>
      <c r="G30" s="63" t="str">
        <f>IF(MapWeight!F31&lt;&gt;0, SUM(G31:G33)/MapWeight!F31, "")</f>
        <v/>
      </c>
      <c r="H30" s="63" t="str">
        <f>IF(MapWeight!G31&lt;&gt;0, SUM(H31:H33)/MapWeight!G31, "")</f>
        <v/>
      </c>
      <c r="I30" s="63" t="str">
        <f>IF(MapWeight!H31&lt;&gt;0, SUM(I31:I33)/MapWeight!H31, "")</f>
        <v/>
      </c>
      <c r="J30" s="63" t="str">
        <f>IF(MapWeight!I31&lt;&gt;0, SUM(J31:J33)/MapWeight!I31, "")</f>
        <v/>
      </c>
      <c r="K30" s="63">
        <f>IF(MapWeight!J31&lt;&gt;0, SUM(K31:K33)/MapWeight!J31, "")</f>
        <v>77.5</v>
      </c>
      <c r="L30" s="63">
        <f>IF(MapWeight!K31&lt;&gt;0, SUM(L31:L33)/MapWeight!K31, "")</f>
        <v>72.5</v>
      </c>
      <c r="M30" s="63">
        <f>IF(MapWeight!L31&lt;&gt;0, SUM(M31:M33)/MapWeight!L31, "")</f>
        <v>73.33333333</v>
      </c>
      <c r="N30" s="63">
        <f>IF(MapWeight!M31&lt;&gt;0, SUM(N31:N33)/MapWeight!M31, "")</f>
        <v>74.44444444</v>
      </c>
      <c r="O30" s="64">
        <f>AVERAGE(D30:N30)</f>
        <v>74.44444444</v>
      </c>
    </row>
    <row r="31">
      <c r="A31" s="65"/>
      <c r="B31" s="24" t="s">
        <v>55</v>
      </c>
      <c r="C31" s="66">
        <f>CLO_Attainments!U50</f>
        <v>72.5</v>
      </c>
      <c r="D31" s="68" t="str">
        <f>IF(MapWeight!C32&lt;&gt;"", $C$20*MapWeight!C32, "")</f>
        <v/>
      </c>
      <c r="E31" s="68" t="str">
        <f>IF(MapWeight!D32&lt;&gt;"", $C$20*MapWeight!D32, "")</f>
        <v/>
      </c>
      <c r="F31" s="68" t="str">
        <f>IF(MapWeight!E32&lt;&gt;"", $C$20*MapWeight!E32, "")</f>
        <v/>
      </c>
      <c r="G31" s="68" t="str">
        <f>IF(MapWeight!F32&lt;&gt;"", $C$20*MapWeight!F32, "")</f>
        <v/>
      </c>
      <c r="H31" s="68" t="str">
        <f>IF(MapWeight!G32&lt;&gt;"", $C$20*MapWeight!G32, "")</f>
        <v/>
      </c>
      <c r="I31" s="68" t="str">
        <f>IF(MapWeight!H32&lt;&gt;"", $C$20*MapWeight!H32, "")</f>
        <v/>
      </c>
      <c r="J31" s="68" t="str">
        <f>IF(MapWeight!I32&lt;&gt;"", $C$20*MapWeight!I32, "")</f>
        <v/>
      </c>
      <c r="K31" s="68">
        <f>IF(MapWeight!J32&lt;&gt;"", $C$20*MapWeight!J32, "")</f>
        <v>232.5</v>
      </c>
      <c r="L31" s="68" t="str">
        <f>IF(MapWeight!K32&lt;&gt;"", $C$20*MapWeight!K32, "")</f>
        <v/>
      </c>
      <c r="M31" s="68" t="str">
        <f>IF(MapWeight!L32&lt;&gt;"", $C$20*MapWeight!L32, "")</f>
        <v/>
      </c>
      <c r="N31" s="68">
        <f>IF(MapWeight!M32&lt;&gt;"", $C$20*MapWeight!M32, "")</f>
        <v>232.5</v>
      </c>
    </row>
    <row r="32">
      <c r="A32" s="65"/>
      <c r="B32" s="2" t="s">
        <v>61</v>
      </c>
      <c r="C32" s="70">
        <f>CLO_Attainments!V50</f>
        <v>70</v>
      </c>
      <c r="D32" s="71" t="str">
        <f>IF(MapWeight!C33&lt;&gt;"", $C$21*MapWeight!C33, "")</f>
        <v/>
      </c>
      <c r="E32" s="71" t="str">
        <f>IF(MapWeight!D33&lt;&gt;"", $C$21*MapWeight!D33, "")</f>
        <v/>
      </c>
      <c r="F32" s="71" t="str">
        <f>IF(MapWeight!E33&lt;&gt;"", $C$21*MapWeight!E33, "")</f>
        <v/>
      </c>
      <c r="G32" s="71" t="str">
        <f>IF(MapWeight!F33&lt;&gt;"", $C$21*MapWeight!F33, "")</f>
        <v/>
      </c>
      <c r="H32" s="71" t="str">
        <f>IF(MapWeight!G33&lt;&gt;"", $C$21*MapWeight!G33, "")</f>
        <v/>
      </c>
      <c r="I32" s="71" t="str">
        <f>IF(MapWeight!H33&lt;&gt;"", $C$21*MapWeight!H33, "")</f>
        <v/>
      </c>
      <c r="J32" s="71" t="str">
        <f>IF(MapWeight!I33&lt;&gt;"", $C$21*MapWeight!I33, "")</f>
        <v/>
      </c>
      <c r="K32" s="71" t="str">
        <f>IF(MapWeight!J33&lt;&gt;"", $C$21*MapWeight!J33, "")</f>
        <v/>
      </c>
      <c r="L32" s="71">
        <f>IF(MapWeight!K33&lt;&gt;"", $C$21*MapWeight!K33, "")</f>
        <v>217.5</v>
      </c>
      <c r="M32" s="71" t="str">
        <f>IF(MapWeight!L33&lt;&gt;"", $C$21*MapWeight!L33, "")</f>
        <v/>
      </c>
      <c r="N32" s="71">
        <f>IF(MapWeight!M33&lt;&gt;"", $C$21*MapWeight!M33, "")</f>
        <v>217.5</v>
      </c>
    </row>
    <row r="33">
      <c r="A33" s="73"/>
      <c r="B33" s="33" t="s">
        <v>65</v>
      </c>
      <c r="C33" s="74">
        <f>CLO_Attainments!W50</f>
        <v>77.5</v>
      </c>
      <c r="D33" s="75" t="str">
        <f>IF(MapWeight!C34&lt;&gt;"", $C$22*MapWeight!C34, "")</f>
        <v/>
      </c>
      <c r="E33" s="75" t="str">
        <f>IF(MapWeight!D34&lt;&gt;"", $C$22*MapWeight!D34, "")</f>
        <v/>
      </c>
      <c r="F33" s="75" t="str">
        <f>IF(MapWeight!E34&lt;&gt;"", $C$22*MapWeight!E34, "")</f>
        <v/>
      </c>
      <c r="G33" s="75" t="str">
        <f>IF(MapWeight!F34&lt;&gt;"", $C$22*MapWeight!F34, "")</f>
        <v/>
      </c>
      <c r="H33" s="75" t="str">
        <f>IF(MapWeight!G34&lt;&gt;"", $C$22*MapWeight!G34, "")</f>
        <v/>
      </c>
      <c r="I33" s="75" t="str">
        <f>IF(MapWeight!H34&lt;&gt;"", $C$22*MapWeight!H34, "")</f>
        <v/>
      </c>
      <c r="J33" s="75" t="str">
        <f>IF(MapWeight!I34&lt;&gt;"", $C$22*MapWeight!I34, "")</f>
        <v/>
      </c>
      <c r="K33" s="75" t="str">
        <f>IF(MapWeight!J34&lt;&gt;"", $C$22*MapWeight!J34, "")</f>
        <v/>
      </c>
      <c r="L33" s="75" t="str">
        <f>IF(MapWeight!K34&lt;&gt;"", $C$22*MapWeight!K34, "")</f>
        <v/>
      </c>
      <c r="M33" s="75">
        <f>IF(MapWeight!L34&lt;&gt;"", $C$22*MapWeight!L34, "")</f>
        <v>220</v>
      </c>
      <c r="N33" s="75">
        <f>IF(MapWeight!M34&lt;&gt;"", $C$22*MapWeight!M34, "")</f>
        <v>220</v>
      </c>
    </row>
    <row r="34">
      <c r="A34" s="60" t="s">
        <v>33</v>
      </c>
      <c r="B34" s="39"/>
      <c r="C34" s="61">
        <f>AVERAGE(C35:C37)</f>
        <v>71.66666667</v>
      </c>
      <c r="D34" s="63" t="str">
        <f>IF(MapWeight!C35&lt;&gt;0, SUM(D35:D37)/MapWeight!C35, "")</f>
        <v/>
      </c>
      <c r="E34" s="63" t="str">
        <f>IF(MapWeight!D35&lt;&gt;0, SUM(E35:E37)/MapWeight!D35, "")</f>
        <v/>
      </c>
      <c r="F34" s="63" t="str">
        <f>IF(MapWeight!E35&lt;&gt;0, SUM(F35:F37)/MapWeight!E35, "")</f>
        <v/>
      </c>
      <c r="G34" s="63">
        <f>IF(MapWeight!F35&lt;&gt;0, SUM(G35:G37)/MapWeight!F35, "")</f>
        <v>77.5</v>
      </c>
      <c r="H34" s="63">
        <f>IF(MapWeight!G35&lt;&gt;0, SUM(H35:H37)/MapWeight!G35, "")</f>
        <v>72.5</v>
      </c>
      <c r="I34" s="63">
        <f>IF(MapWeight!H35&lt;&gt;0, SUM(I35:I37)/MapWeight!H35, "")</f>
        <v>73.33333333</v>
      </c>
      <c r="J34" s="77" t="str">
        <f>IF(MapWeight!I35&lt;&gt;0, SUM(J35:J37)/MapWeight!I35, "")</f>
        <v/>
      </c>
      <c r="K34" s="77" t="str">
        <f>IF(MapWeight!J35&lt;&gt;0, SUM(K35:K37)/MapWeight!J35, "")</f>
        <v/>
      </c>
      <c r="L34" s="62" t="str">
        <f>IF(MapWeight!K35&lt;&gt;0, SUM(L35:L37)/MapWeight!K35, "")</f>
        <v/>
      </c>
      <c r="M34" s="63" t="str">
        <f>IF(MapWeight!L35&lt;&gt;0, SUM(M35:M37)/MapWeight!L35, "")</f>
        <v/>
      </c>
      <c r="N34" s="63" t="str">
        <f>IF(MapWeight!M35&lt;&gt;0, SUM(N35:N37)/MapWeight!M35, "")</f>
        <v/>
      </c>
      <c r="O34" s="64">
        <f>AVERAGE(D34:N34)</f>
        <v>74.44444444</v>
      </c>
    </row>
    <row r="35">
      <c r="A35" s="65"/>
      <c r="B35" s="24" t="s">
        <v>55</v>
      </c>
      <c r="C35" s="66">
        <f>CLO_Attainments!X50</f>
        <v>82.5</v>
      </c>
      <c r="D35" s="68" t="str">
        <f>IF(MapWeight!C36&lt;&gt;"", $C$20*MapWeight!C36, "")</f>
        <v/>
      </c>
      <c r="E35" s="68" t="str">
        <f>IF(MapWeight!D36&lt;&gt;"", $C$20*MapWeight!D36, "")</f>
        <v/>
      </c>
      <c r="F35" s="68" t="str">
        <f>IF(MapWeight!E36&lt;&gt;"", $C$20*MapWeight!E36, "")</f>
        <v/>
      </c>
      <c r="G35" s="68">
        <f>IF(MapWeight!F36&lt;&gt;"", $C$20*MapWeight!F36, "")</f>
        <v>77.5</v>
      </c>
      <c r="H35" s="68" t="str">
        <f>IF(MapWeight!G36&lt;&gt;"", $C$20*MapWeight!G36, "")</f>
        <v/>
      </c>
      <c r="I35" s="68" t="str">
        <f>IF(MapWeight!H36&lt;&gt;"", $C$20*MapWeight!H36, "")</f>
        <v/>
      </c>
      <c r="J35" s="67" t="str">
        <f>IF(MapWeight!I36&lt;&gt;"", $C$20*MapWeight!I36, "")</f>
        <v/>
      </c>
      <c r="K35" s="68" t="str">
        <f>IF(MapWeight!J36&lt;&gt;"", $C$20*MapWeight!J36, "")</f>
        <v/>
      </c>
      <c r="L35" s="68" t="str">
        <f>IF(MapWeight!K36&lt;&gt;"", $C$20*MapWeight!K36, "")</f>
        <v/>
      </c>
      <c r="M35" s="68" t="str">
        <f>IF(MapWeight!L36&lt;&gt;"", $C$20*MapWeight!L36, "")</f>
        <v/>
      </c>
      <c r="N35" s="68" t="str">
        <f>IF(MapWeight!M36&lt;&gt;"", $C$20*MapWeight!M36, "")</f>
        <v/>
      </c>
    </row>
    <row r="36">
      <c r="A36" s="65"/>
      <c r="B36" s="2" t="s">
        <v>61</v>
      </c>
      <c r="C36" s="70">
        <f>CLO_Attainments!Y50</f>
        <v>62.5</v>
      </c>
      <c r="D36" s="71" t="str">
        <f>IF(MapWeight!C37&lt;&gt;"", $C$21*MapWeight!C37, "")</f>
        <v/>
      </c>
      <c r="E36" s="71" t="str">
        <f>IF(MapWeight!D37&lt;&gt;"", $C$21*MapWeight!D37, "")</f>
        <v/>
      </c>
      <c r="F36" s="71" t="str">
        <f>IF(MapWeight!E37&lt;&gt;"", $C$21*MapWeight!E37, "")</f>
        <v/>
      </c>
      <c r="G36" s="71" t="str">
        <f>IF(MapWeight!F37&lt;&gt;"", $C$21*MapWeight!F37, "")</f>
        <v/>
      </c>
      <c r="H36" s="71">
        <f>IF(MapWeight!G37&lt;&gt;"", $C$21*MapWeight!G37, "")</f>
        <v>145</v>
      </c>
      <c r="I36" s="71" t="str">
        <f>IF(MapWeight!H37&lt;&gt;"", $C$21*MapWeight!H37, "")</f>
        <v/>
      </c>
      <c r="J36" s="71" t="str">
        <f>IF(MapWeight!I37&lt;&gt;"", $C$21*MapWeight!I37, "")</f>
        <v/>
      </c>
      <c r="K36" s="72" t="str">
        <f>IF(MapWeight!J37&lt;&gt;"", $C$21*MapWeight!J37, "")</f>
        <v/>
      </c>
      <c r="L36" s="71" t="str">
        <f>IF(MapWeight!K37&lt;&gt;"", $C$21*MapWeight!K37, "")</f>
        <v/>
      </c>
      <c r="M36" s="71" t="str">
        <f>IF(MapWeight!L37&lt;&gt;"", $C$21*MapWeight!L37, "")</f>
        <v/>
      </c>
      <c r="N36" s="71" t="str">
        <f>IF(MapWeight!M37&lt;&gt;"", $C$21*MapWeight!M37, "")</f>
        <v/>
      </c>
    </row>
    <row r="37">
      <c r="A37" s="73"/>
      <c r="B37" s="33" t="s">
        <v>65</v>
      </c>
      <c r="C37" s="74">
        <f>CLO_Attainments!Z50</f>
        <v>70</v>
      </c>
      <c r="D37" s="75" t="str">
        <f>IF(MapWeight!C38&lt;&gt;"", $C$22*MapWeight!C38, "")</f>
        <v/>
      </c>
      <c r="E37" s="75" t="str">
        <f>IF(MapWeight!D38&lt;&gt;"", $C$22*MapWeight!D38, "")</f>
        <v/>
      </c>
      <c r="F37" s="75" t="str">
        <f>IF(MapWeight!E38&lt;&gt;"", $C$22*MapWeight!E38, "")</f>
        <v/>
      </c>
      <c r="G37" s="75" t="str">
        <f>IF(MapWeight!F38&lt;&gt;"", $C$22*MapWeight!F38, "")</f>
        <v/>
      </c>
      <c r="H37" s="75" t="str">
        <f>IF(MapWeight!G38&lt;&gt;"", $C$22*MapWeight!G38, "")</f>
        <v/>
      </c>
      <c r="I37" s="75">
        <f>IF(MapWeight!H38&lt;&gt;"", $C$22*MapWeight!H38, "")</f>
        <v>146.6666667</v>
      </c>
      <c r="J37" s="75" t="str">
        <f>IF(MapWeight!I38&lt;&gt;"", $C$22*MapWeight!I38, "")</f>
        <v/>
      </c>
      <c r="K37" s="75" t="str">
        <f>IF(MapWeight!J38&lt;&gt;"", $C$22*MapWeight!J38, "")</f>
        <v/>
      </c>
      <c r="L37" s="76" t="str">
        <f>IF(MapWeight!K38&lt;&gt;"", $C$22*MapWeight!K38, "")</f>
        <v/>
      </c>
      <c r="M37" s="75" t="str">
        <f>IF(MapWeight!L38&lt;&gt;"", $C$22*MapWeight!L38, "")</f>
        <v/>
      </c>
      <c r="N37" s="75" t="str">
        <f>IF(MapWeight!M38&lt;&gt;"", $C$22*MapWeight!M38, "")</f>
        <v/>
      </c>
    </row>
    <row r="38">
      <c r="A38" s="60" t="s">
        <v>34</v>
      </c>
      <c r="B38" s="39"/>
      <c r="C38" s="61">
        <f>AVERAGE(C39:C41)</f>
        <v>76.66666667</v>
      </c>
      <c r="D38" s="63" t="str">
        <f>IF(MapWeight!C39&lt;&gt;0, SUM(D39:D41)/MapWeight!C39, "")</f>
        <v/>
      </c>
      <c r="E38" s="63" t="str">
        <f>IF(MapWeight!D39&lt;&gt;0, SUM(E39:E41)/MapWeight!D39, "")</f>
        <v/>
      </c>
      <c r="F38" s="63" t="str">
        <f>IF(MapWeight!E39&lt;&gt;0, SUM(F39:F41)/MapWeight!E39, "")</f>
        <v/>
      </c>
      <c r="G38" s="63">
        <f>IF(MapWeight!F39&lt;&gt;0, SUM(G39:G41)/MapWeight!F39, "")</f>
        <v>77.5</v>
      </c>
      <c r="H38" s="63">
        <f>IF(MapWeight!G39&lt;&gt;0, SUM(H39:H41)/MapWeight!G39, "")</f>
        <v>72.5</v>
      </c>
      <c r="I38" s="63">
        <f>IF(MapWeight!H39&lt;&gt;0, SUM(I39:I41)/MapWeight!H39, "")</f>
        <v>73.33333333</v>
      </c>
      <c r="J38" s="63" t="str">
        <f>IF(MapWeight!I39&lt;&gt;0, SUM(J39:J41)/MapWeight!I39, "")</f>
        <v/>
      </c>
      <c r="K38" s="63" t="str">
        <f>IF(MapWeight!J39&lt;&gt;0, SUM(K39:K41)/MapWeight!J39, "")</f>
        <v/>
      </c>
      <c r="L38" s="63" t="str">
        <f>IF(MapWeight!K39&lt;&gt;0, SUM(L39:L41)/MapWeight!K39, "")</f>
        <v/>
      </c>
      <c r="M38" s="77">
        <f>IF(MapWeight!L39&lt;&gt;0, SUM(M39:M41)/MapWeight!L39, "")</f>
        <v>77.5</v>
      </c>
      <c r="N38" s="77">
        <f>IF(MapWeight!M39&lt;&gt;0, SUM(N39:N41)/MapWeight!M39, "")</f>
        <v>72.5</v>
      </c>
      <c r="O38" s="64">
        <f>AVERAGE(D38:N38)</f>
        <v>74.66666667</v>
      </c>
    </row>
    <row r="39">
      <c r="A39" s="65"/>
      <c r="B39" s="24" t="s">
        <v>55</v>
      </c>
      <c r="C39" s="66">
        <f>CLO_Attainments!AA50</f>
        <v>72.5</v>
      </c>
      <c r="D39" s="68" t="str">
        <f>IF(MapWeight!C40&lt;&gt;"", $C$20*MapWeight!C40, "")</f>
        <v/>
      </c>
      <c r="E39" s="68" t="str">
        <f>IF(MapWeight!D40&lt;&gt;"", $C$20*MapWeight!D40, "")</f>
        <v/>
      </c>
      <c r="F39" s="68" t="str">
        <f>IF(MapWeight!E40&lt;&gt;"", $C$20*MapWeight!E40, "")</f>
        <v/>
      </c>
      <c r="G39" s="68">
        <f>IF(MapWeight!F40&lt;&gt;"", $C$20*MapWeight!F40, "")</f>
        <v>77.5</v>
      </c>
      <c r="H39" s="68" t="str">
        <f>IF(MapWeight!G40&lt;&gt;"", $C$20*MapWeight!G40, "")</f>
        <v/>
      </c>
      <c r="I39" s="68" t="str">
        <f>IF(MapWeight!H40&lt;&gt;"", $C$20*MapWeight!H40, "")</f>
        <v/>
      </c>
      <c r="J39" s="68" t="str">
        <f>IF(MapWeight!I40&lt;&gt;"", $C$20*MapWeight!I40, "")</f>
        <v/>
      </c>
      <c r="K39" s="68" t="str">
        <f>IF(MapWeight!J40&lt;&gt;"", $C$20*MapWeight!J40, "")</f>
        <v/>
      </c>
      <c r="L39" s="68" t="str">
        <f>IF(MapWeight!K40&lt;&gt;"", $C$20*MapWeight!K40, "")</f>
        <v/>
      </c>
      <c r="M39" s="67">
        <f>IF(MapWeight!L40&lt;&gt;"", $C$20*MapWeight!L40, "")</f>
        <v>77.5</v>
      </c>
      <c r="N39" s="68" t="str">
        <f>IF(MapWeight!M40&lt;&gt;"", $C$20*MapWeight!M40, "")</f>
        <v/>
      </c>
    </row>
    <row r="40">
      <c r="A40" s="65"/>
      <c r="B40" s="2" t="s">
        <v>61</v>
      </c>
      <c r="C40" s="70">
        <f>CLO_Attainments!AB50</f>
        <v>75</v>
      </c>
      <c r="D40" s="71" t="str">
        <f>IF(MapWeight!C41&lt;&gt;"", $C$21*MapWeight!C41, "")</f>
        <v/>
      </c>
      <c r="E40" s="71" t="str">
        <f>IF(MapWeight!D41&lt;&gt;"", $C$21*MapWeight!D41, "")</f>
        <v/>
      </c>
      <c r="F40" s="71" t="str">
        <f>IF(MapWeight!E41&lt;&gt;"", $C$21*MapWeight!E41, "")</f>
        <v/>
      </c>
      <c r="G40" s="71" t="str">
        <f>IF(MapWeight!F41&lt;&gt;"", $C$21*MapWeight!F41, "")</f>
        <v/>
      </c>
      <c r="H40" s="71">
        <f>IF(MapWeight!G41&lt;&gt;"", $C$21*MapWeight!G41, "")</f>
        <v>145</v>
      </c>
      <c r="I40" s="71" t="str">
        <f>IF(MapWeight!H41&lt;&gt;"", $C$21*MapWeight!H41, "")</f>
        <v/>
      </c>
      <c r="J40" s="71" t="str">
        <f>IF(MapWeight!I41&lt;&gt;"", $C$21*MapWeight!I41, "")</f>
        <v/>
      </c>
      <c r="K40" s="71" t="str">
        <f>IF(MapWeight!J41&lt;&gt;"", $C$21*MapWeight!J41, "")</f>
        <v/>
      </c>
      <c r="L40" s="71" t="str">
        <f>IF(MapWeight!K41&lt;&gt;"", $C$21*MapWeight!K41, "")</f>
        <v/>
      </c>
      <c r="M40" s="71" t="str">
        <f>IF(MapWeight!L41&lt;&gt;"", $C$21*MapWeight!L41, "")</f>
        <v/>
      </c>
      <c r="N40" s="72">
        <f>IF(MapWeight!M41&lt;&gt;"", $C$21*MapWeight!M41, "")</f>
        <v>72.5</v>
      </c>
    </row>
    <row r="41">
      <c r="A41" s="73"/>
      <c r="B41" s="33" t="s">
        <v>65</v>
      </c>
      <c r="C41" s="74">
        <f>CLO_Attainments!AC50</f>
        <v>82.5</v>
      </c>
      <c r="D41" s="75" t="str">
        <f>IF(MapWeight!C42&lt;&gt;"", $C$22*MapWeight!C42, "")</f>
        <v/>
      </c>
      <c r="E41" s="75" t="str">
        <f>IF(MapWeight!D42&lt;&gt;"", $C$22*MapWeight!D42, "")</f>
        <v/>
      </c>
      <c r="F41" s="75" t="str">
        <f>IF(MapWeight!E42&lt;&gt;"", $C$22*MapWeight!E42, "")</f>
        <v/>
      </c>
      <c r="G41" s="75" t="str">
        <f>IF(MapWeight!F42&lt;&gt;"", $C$22*MapWeight!F42, "")</f>
        <v/>
      </c>
      <c r="H41" s="75" t="str">
        <f>IF(MapWeight!G42&lt;&gt;"", $C$22*MapWeight!G42, "")</f>
        <v/>
      </c>
      <c r="I41" s="75">
        <f>IF(MapWeight!H42&lt;&gt;"", $C$22*MapWeight!H42, "")</f>
        <v>146.6666667</v>
      </c>
      <c r="J41" s="75" t="str">
        <f>IF(MapWeight!I42&lt;&gt;"", $C$22*MapWeight!I42, "")</f>
        <v/>
      </c>
      <c r="K41" s="75" t="str">
        <f>IF(MapWeight!J42&lt;&gt;"", $C$22*MapWeight!J42, "")</f>
        <v/>
      </c>
      <c r="L41" s="75" t="str">
        <f>IF(MapWeight!K42&lt;&gt;"", $C$22*MapWeight!K42, "")</f>
        <v/>
      </c>
      <c r="M41" s="75" t="str">
        <f>IF(MapWeight!L42&lt;&gt;"", $C$22*MapWeight!L42, "")</f>
        <v/>
      </c>
      <c r="N41" s="75" t="str">
        <f>IF(MapWeight!M42&lt;&gt;"", $C$22*MapWeight!M42, "")</f>
        <v/>
      </c>
    </row>
    <row r="42">
      <c r="A42" s="60" t="s">
        <v>35</v>
      </c>
      <c r="B42" s="39"/>
      <c r="C42" s="61">
        <f>AVERAGE(C43:C45)</f>
        <v>63.33333333</v>
      </c>
      <c r="D42" s="77">
        <f>IF(MapWeight!C43&lt;&gt;0, SUM(D43:D45)/MapWeight!C43, "")</f>
        <v>77.5</v>
      </c>
      <c r="E42" s="77">
        <f>IF(MapWeight!D43&lt;&gt;0, SUM(E43:E45)/MapWeight!D43, "")</f>
        <v>72.5</v>
      </c>
      <c r="F42" s="62">
        <f>IF(MapWeight!E43&lt;&gt;0, SUM(F43:F45)/MapWeight!E43, "")</f>
        <v>73.33333333</v>
      </c>
      <c r="G42" s="77">
        <f>IF(MapWeight!F43&lt;&gt;0, SUM(G43:G45)/MapWeight!F43, "")</f>
        <v>77.5</v>
      </c>
      <c r="H42" s="77">
        <f>IF(MapWeight!G43&lt;&gt;0, SUM(H43:H45)/MapWeight!G43, "")</f>
        <v>72.5</v>
      </c>
      <c r="I42" s="62">
        <f>IF(MapWeight!H43&lt;&gt;0, SUM(I43:I45)/MapWeight!H43, "")</f>
        <v>73.33333333</v>
      </c>
      <c r="J42" s="63" t="str">
        <f>IF(MapWeight!I43&lt;&gt;0, SUM(J43:J45)/MapWeight!I43, "")</f>
        <v/>
      </c>
      <c r="K42" s="63" t="str">
        <f>IF(MapWeight!J43&lt;&gt;0, SUM(K43:K45)/MapWeight!J43, "")</f>
        <v/>
      </c>
      <c r="L42" s="63" t="str">
        <f>IF(MapWeight!K43&lt;&gt;0, SUM(L43:L45)/MapWeight!K43, "")</f>
        <v/>
      </c>
      <c r="M42" s="63" t="str">
        <f>IF(MapWeight!L43&lt;&gt;0, SUM(M43:M45)/MapWeight!L43, "")</f>
        <v/>
      </c>
      <c r="N42" s="63" t="str">
        <f>IF(MapWeight!M43&lt;&gt;0, SUM(N43:N45)/MapWeight!M43, "")</f>
        <v/>
      </c>
      <c r="O42" s="64">
        <f>AVERAGE(D42:N42)</f>
        <v>74.44444444</v>
      </c>
    </row>
    <row r="43">
      <c r="A43" s="65"/>
      <c r="B43" s="24" t="s">
        <v>55</v>
      </c>
      <c r="C43" s="66">
        <f>CLO_Attainments!AD50</f>
        <v>65</v>
      </c>
      <c r="D43" s="67">
        <f>IF(MapWeight!C44&lt;&gt;"", $C$20*MapWeight!C44, "")</f>
        <v>77.5</v>
      </c>
      <c r="E43" s="68" t="str">
        <f>IF(MapWeight!D44&lt;&gt;"", $C$20*MapWeight!D44, "")</f>
        <v/>
      </c>
      <c r="F43" s="68" t="str">
        <f>IF(MapWeight!E44&lt;&gt;"", $C$20*MapWeight!E44, "")</f>
        <v/>
      </c>
      <c r="G43" s="67">
        <f>IF(MapWeight!F44&lt;&gt;"", $C$20*MapWeight!F44, "")</f>
        <v>77.5</v>
      </c>
      <c r="H43" s="68" t="str">
        <f>IF(MapWeight!G44&lt;&gt;"", $C$20*MapWeight!G44, "")</f>
        <v/>
      </c>
      <c r="I43" s="68" t="str">
        <f>IF(MapWeight!H44&lt;&gt;"", $C$20*MapWeight!H44, "")</f>
        <v/>
      </c>
      <c r="J43" s="68" t="str">
        <f>IF(MapWeight!I44&lt;&gt;"", $C$20*MapWeight!I44, "")</f>
        <v/>
      </c>
      <c r="K43" s="68" t="str">
        <f>IF(MapWeight!J44&lt;&gt;"", $C$20*MapWeight!J44, "")</f>
        <v/>
      </c>
      <c r="L43" s="68" t="str">
        <f>IF(MapWeight!K44&lt;&gt;"", $C$20*MapWeight!K44, "")</f>
        <v/>
      </c>
      <c r="M43" s="68" t="str">
        <f>IF(MapWeight!L44&lt;&gt;"", $C$20*MapWeight!L44, "")</f>
        <v/>
      </c>
      <c r="N43" s="68" t="str">
        <f>IF(MapWeight!M44&lt;&gt;"", $C$20*MapWeight!M44, "")</f>
        <v/>
      </c>
    </row>
    <row r="44">
      <c r="A44" s="65"/>
      <c r="B44" s="2" t="s">
        <v>61</v>
      </c>
      <c r="C44" s="70">
        <f>CLO_Attainments!AE50</f>
        <v>62.5</v>
      </c>
      <c r="D44" s="71" t="str">
        <f>IF(MapWeight!C45&lt;&gt;"", $C$21*MapWeight!C45, "")</f>
        <v/>
      </c>
      <c r="E44" s="72">
        <f>IF(MapWeight!D45&lt;&gt;"", $C$21*MapWeight!D45, "")</f>
        <v>72.5</v>
      </c>
      <c r="F44" s="71" t="str">
        <f>IF(MapWeight!E45&lt;&gt;"", $C$21*MapWeight!E45, "")</f>
        <v/>
      </c>
      <c r="G44" s="71" t="str">
        <f>IF(MapWeight!F45&lt;&gt;"", $C$21*MapWeight!F45, "")</f>
        <v/>
      </c>
      <c r="H44" s="72">
        <f>IF(MapWeight!G45&lt;&gt;"", $C$21*MapWeight!G45, "")</f>
        <v>72.5</v>
      </c>
      <c r="I44" s="71" t="str">
        <f>IF(MapWeight!H45&lt;&gt;"", $C$21*MapWeight!H45, "")</f>
        <v/>
      </c>
      <c r="J44" s="71" t="str">
        <f>IF(MapWeight!I45&lt;&gt;"", $C$21*MapWeight!I45, "")</f>
        <v/>
      </c>
      <c r="K44" s="71" t="str">
        <f>IF(MapWeight!J45&lt;&gt;"", $C$21*MapWeight!J45, "")</f>
        <v/>
      </c>
      <c r="L44" s="71" t="str">
        <f>IF(MapWeight!K45&lt;&gt;"", $C$21*MapWeight!K45, "")</f>
        <v/>
      </c>
      <c r="M44" s="71" t="str">
        <f>IF(MapWeight!L45&lt;&gt;"", $C$21*MapWeight!L45, "")</f>
        <v/>
      </c>
      <c r="N44" s="71" t="str">
        <f>IF(MapWeight!M45&lt;&gt;"", $C$21*MapWeight!M45, "")</f>
        <v/>
      </c>
    </row>
    <row r="45">
      <c r="A45" s="73"/>
      <c r="B45" s="33" t="s">
        <v>65</v>
      </c>
      <c r="C45" s="74">
        <f>CLO_Attainments!AF50</f>
        <v>62.5</v>
      </c>
      <c r="D45" s="75" t="str">
        <f>IF(MapWeight!C46&lt;&gt;"", $C$22*MapWeight!C46, "")</f>
        <v/>
      </c>
      <c r="E45" s="75" t="str">
        <f>IF(MapWeight!D46&lt;&gt;"", $C$22*MapWeight!D46, "")</f>
        <v/>
      </c>
      <c r="F45" s="76">
        <f>IF(MapWeight!E46&lt;&gt;"", $C$22*MapWeight!E46, "")</f>
        <v>146.6666667</v>
      </c>
      <c r="G45" s="75" t="str">
        <f>IF(MapWeight!F46&lt;&gt;"", $C$22*MapWeight!F46, "")</f>
        <v/>
      </c>
      <c r="H45" s="75" t="str">
        <f>IF(MapWeight!G46&lt;&gt;"", $C$22*MapWeight!G46, "")</f>
        <v/>
      </c>
      <c r="I45" s="76">
        <f>IF(MapWeight!H46&lt;&gt;"", $C$22*MapWeight!H46, "")</f>
        <v>146.6666667</v>
      </c>
      <c r="J45" s="75" t="str">
        <f>IF(MapWeight!I46&lt;&gt;"", $C$22*MapWeight!I46, "")</f>
        <v/>
      </c>
      <c r="K45" s="75" t="str">
        <f>IF(MapWeight!J46&lt;&gt;"", $C$22*MapWeight!J46, "")</f>
        <v/>
      </c>
      <c r="L45" s="75" t="str">
        <f>IF(MapWeight!K46&lt;&gt;"", $C$22*MapWeight!K46, "")</f>
        <v/>
      </c>
      <c r="M45" s="75" t="str">
        <f>IF(MapWeight!L46&lt;&gt;"", $C$22*MapWeight!L46, "")</f>
        <v/>
      </c>
      <c r="N45" s="75" t="str">
        <f>IF(MapWeight!M46&lt;&gt;"", $C$22*MapWeight!M46, "")</f>
        <v/>
      </c>
    </row>
    <row r="46">
      <c r="A46" s="60" t="s">
        <v>37</v>
      </c>
      <c r="B46" s="39"/>
      <c r="C46" s="61">
        <f>AVERAGE(C47:C49)</f>
        <v>68.33333333</v>
      </c>
      <c r="D46" s="77">
        <f>IF(MapWeight!C47&lt;&gt;0, SUM(D47:D49)/MapWeight!C47, "")</f>
        <v>77.5</v>
      </c>
      <c r="E46" s="77">
        <f>IF(MapWeight!D47&lt;&gt;0, SUM(E47:E49)/MapWeight!D47, "")</f>
        <v>72.5</v>
      </c>
      <c r="F46" s="62">
        <f>IF(MapWeight!E47&lt;&gt;0, SUM(F47:F49)/MapWeight!E47, "")</f>
        <v>73.33333333</v>
      </c>
      <c r="G46" s="77" t="str">
        <f>IF(MapWeight!F47&lt;&gt;0, SUM(G47:G49)/MapWeight!F47, "")</f>
        <v/>
      </c>
      <c r="H46" s="77" t="str">
        <f>IF(MapWeight!G47&lt;&gt;0, SUM(H47:H49)/MapWeight!G47, "")</f>
        <v/>
      </c>
      <c r="I46" s="62" t="str">
        <f>IF(MapWeight!H47&lt;&gt;0, SUM(I47:I49)/MapWeight!H47, "")</f>
        <v/>
      </c>
      <c r="J46" s="63" t="str">
        <f>IF(MapWeight!I47&lt;&gt;0, SUM(J47:J49)/MapWeight!I47, "")</f>
        <v/>
      </c>
      <c r="K46" s="63" t="str">
        <f>IF(MapWeight!J47&lt;&gt;0, SUM(K47:K49)/MapWeight!J47, "")</f>
        <v/>
      </c>
      <c r="L46" s="63" t="str">
        <f>IF(MapWeight!K47&lt;&gt;0, SUM(L47:L49)/MapWeight!K47, "")</f>
        <v/>
      </c>
      <c r="M46" s="63" t="str">
        <f>IF(MapWeight!L47&lt;&gt;0, SUM(M47:M49)/MapWeight!L47, "")</f>
        <v/>
      </c>
      <c r="N46" s="63" t="str">
        <f>IF(MapWeight!M47&lt;&gt;0, SUM(N47:N49)/MapWeight!M47, "")</f>
        <v/>
      </c>
      <c r="O46" s="64">
        <f>AVERAGE(D46:N46)</f>
        <v>74.44444444</v>
      </c>
    </row>
    <row r="47">
      <c r="A47" s="65"/>
      <c r="B47" s="24" t="s">
        <v>55</v>
      </c>
      <c r="C47" s="66">
        <f>CLO_Attainments!AG50</f>
        <v>70</v>
      </c>
      <c r="D47" s="67">
        <f>IF(MapWeight!C48&lt;&gt;"", $C$20*MapWeight!C48, "")</f>
        <v>77.5</v>
      </c>
      <c r="E47" s="68" t="str">
        <f>IF(MapWeight!D48&lt;&gt;"", $C$20*MapWeight!D48, "")</f>
        <v/>
      </c>
      <c r="F47" s="68" t="str">
        <f>IF(MapWeight!E48&lt;&gt;"", $C$20*MapWeight!E48, "")</f>
        <v/>
      </c>
      <c r="G47" s="67" t="str">
        <f>IF(MapWeight!F48&lt;&gt;"", $C$20*MapWeight!F48, "")</f>
        <v/>
      </c>
      <c r="H47" s="68" t="str">
        <f>IF(MapWeight!G48&lt;&gt;"", $C$20*MapWeight!G48, "")</f>
        <v/>
      </c>
      <c r="I47" s="68" t="str">
        <f>IF(MapWeight!H48&lt;&gt;"", $C$20*MapWeight!H48, "")</f>
        <v/>
      </c>
      <c r="J47" s="68" t="str">
        <f>IF(MapWeight!I48&lt;&gt;"", $C$20*MapWeight!I48, "")</f>
        <v/>
      </c>
      <c r="K47" s="68" t="str">
        <f>IF(MapWeight!J48&lt;&gt;"", $C$20*MapWeight!J48, "")</f>
        <v/>
      </c>
      <c r="L47" s="68" t="str">
        <f>IF(MapWeight!K48&lt;&gt;"", $C$20*MapWeight!K48, "")</f>
        <v/>
      </c>
      <c r="M47" s="68" t="str">
        <f>IF(MapWeight!L48&lt;&gt;"", $C$20*MapWeight!L48, "")</f>
        <v/>
      </c>
      <c r="N47" s="68" t="str">
        <f>IF(MapWeight!M48&lt;&gt;"", $C$20*MapWeight!M48, "")</f>
        <v/>
      </c>
    </row>
    <row r="48">
      <c r="A48" s="65"/>
      <c r="B48" s="2" t="s">
        <v>61</v>
      </c>
      <c r="C48" s="70">
        <f>CLO_Attainments!AH50</f>
        <v>67.5</v>
      </c>
      <c r="D48" s="71" t="str">
        <f>IF(MapWeight!C49&lt;&gt;"", $C$21*MapWeight!C49, "")</f>
        <v/>
      </c>
      <c r="E48" s="72">
        <f>IF(MapWeight!D49&lt;&gt;"", $C$21*MapWeight!D49, "")</f>
        <v>72.5</v>
      </c>
      <c r="F48" s="71" t="str">
        <f>IF(MapWeight!E49&lt;&gt;"", $C$21*MapWeight!E49, "")</f>
        <v/>
      </c>
      <c r="G48" s="71" t="str">
        <f>IF(MapWeight!F49&lt;&gt;"", $C$21*MapWeight!F49, "")</f>
        <v/>
      </c>
      <c r="H48" s="72" t="str">
        <f>IF(MapWeight!G49&lt;&gt;"", $C$21*MapWeight!G49, "")</f>
        <v/>
      </c>
      <c r="I48" s="71" t="str">
        <f>IF(MapWeight!H49&lt;&gt;"", $C$21*MapWeight!H49, "")</f>
        <v/>
      </c>
      <c r="J48" s="71" t="str">
        <f>IF(MapWeight!I49&lt;&gt;"", $C$21*MapWeight!I49, "")</f>
        <v/>
      </c>
      <c r="K48" s="71" t="str">
        <f>IF(MapWeight!J49&lt;&gt;"", $C$21*MapWeight!J49, "")</f>
        <v/>
      </c>
      <c r="L48" s="71" t="str">
        <f>IF(MapWeight!K49&lt;&gt;"", $C$21*MapWeight!K49, "")</f>
        <v/>
      </c>
      <c r="M48" s="71" t="str">
        <f>IF(MapWeight!L49&lt;&gt;"", $C$21*MapWeight!L49, "")</f>
        <v/>
      </c>
      <c r="N48" s="71" t="str">
        <f>IF(MapWeight!M49&lt;&gt;"", $C$21*MapWeight!M49, "")</f>
        <v/>
      </c>
    </row>
    <row r="49">
      <c r="A49" s="73"/>
      <c r="B49" s="33" t="s">
        <v>65</v>
      </c>
      <c r="C49" s="74">
        <f>CLO_Attainments!AI50</f>
        <v>67.5</v>
      </c>
      <c r="D49" s="75" t="str">
        <f>IF(MapWeight!C50&lt;&gt;"", $C$22*MapWeight!C50, "")</f>
        <v/>
      </c>
      <c r="E49" s="75" t="str">
        <f>IF(MapWeight!D50&lt;&gt;"", $C$22*MapWeight!D50, "")</f>
        <v/>
      </c>
      <c r="F49" s="76">
        <f>IF(MapWeight!E50&lt;&gt;"", $C$22*MapWeight!E50, "")</f>
        <v>146.6666667</v>
      </c>
      <c r="G49" s="75" t="str">
        <f>IF(MapWeight!F50&lt;&gt;"", $C$22*MapWeight!F50, "")</f>
        <v/>
      </c>
      <c r="H49" s="75" t="str">
        <f>IF(MapWeight!G50&lt;&gt;"", $C$22*MapWeight!G50, "")</f>
        <v/>
      </c>
      <c r="I49" s="76" t="str">
        <f>IF(MapWeight!H50&lt;&gt;"", $C$22*MapWeight!H50, "")</f>
        <v/>
      </c>
      <c r="J49" s="75" t="str">
        <f>IF(MapWeight!I50&lt;&gt;"", $C$22*MapWeight!I50, "")</f>
        <v/>
      </c>
      <c r="K49" s="75" t="str">
        <f>IF(MapWeight!J50&lt;&gt;"", $C$22*MapWeight!J50, "")</f>
        <v/>
      </c>
      <c r="L49" s="75" t="str">
        <f>IF(MapWeight!K50&lt;&gt;"", $C$22*MapWeight!K50, "")</f>
        <v/>
      </c>
      <c r="M49" s="75" t="str">
        <f>IF(MapWeight!L50&lt;&gt;"", $C$22*MapWeight!L50, "")</f>
        <v/>
      </c>
      <c r="N49" s="75" t="str">
        <f>IF(MapWeight!M50&lt;&gt;"", $C$22*MapWeight!M50, "")</f>
        <v/>
      </c>
    </row>
    <row r="50">
      <c r="A50" s="60" t="s">
        <v>38</v>
      </c>
      <c r="B50" s="39"/>
      <c r="C50" s="61">
        <f>AVERAGE(C51:C53)</f>
        <v>78.33333333</v>
      </c>
      <c r="D50" s="77">
        <f>IF(MapWeight!C51&lt;&gt;0, SUM(D51:D53)/MapWeight!C51, "")</f>
        <v>77.5</v>
      </c>
      <c r="E50" s="77">
        <f>IF(MapWeight!D51&lt;&gt;0, SUM(E51:E53)/MapWeight!D51, "")</f>
        <v>72.5</v>
      </c>
      <c r="F50" s="62">
        <f>IF(MapWeight!E51&lt;&gt;0, SUM(F51:F53)/MapWeight!E51, "")</f>
        <v>73.33333333</v>
      </c>
      <c r="G50" s="77">
        <f>IF(MapWeight!F51&lt;&gt;0, SUM(G51:G53)/MapWeight!F51, "")</f>
        <v>77.5</v>
      </c>
      <c r="H50" s="77">
        <f>IF(MapWeight!G51&lt;&gt;0, SUM(H51:H53)/MapWeight!G51, "")</f>
        <v>72.5</v>
      </c>
      <c r="I50" s="62">
        <f>IF(MapWeight!H51&lt;&gt;0, SUM(I51:I53)/MapWeight!H51, "")</f>
        <v>73.33333333</v>
      </c>
      <c r="J50" s="77" t="str">
        <f>IF(MapWeight!I51&lt;&gt;0, SUM(J51:J53)/MapWeight!I51, "")</f>
        <v/>
      </c>
      <c r="K50" s="77">
        <f>IF(MapWeight!J51&lt;&gt;0, SUM(K51:K53)/MapWeight!J51, "")</f>
        <v>72.5</v>
      </c>
      <c r="L50" s="62" t="str">
        <f>IF(MapWeight!K51&lt;&gt;0, SUM(L51:L53)/MapWeight!K51, "")</f>
        <v/>
      </c>
      <c r="M50" s="63" t="str">
        <f>IF(MapWeight!L51&lt;&gt;0, SUM(M51:M53)/MapWeight!L51, "")</f>
        <v/>
      </c>
      <c r="N50" s="63" t="str">
        <f>IF(MapWeight!M51&lt;&gt;0, SUM(N51:N53)/MapWeight!M51, "")</f>
        <v/>
      </c>
      <c r="O50" s="64">
        <f>AVERAGE(D50:N50)</f>
        <v>74.16666667</v>
      </c>
    </row>
    <row r="51">
      <c r="A51" s="65"/>
      <c r="B51" s="24" t="s">
        <v>55</v>
      </c>
      <c r="C51" s="66">
        <f>CLO_Attainments!AJ50</f>
        <v>90</v>
      </c>
      <c r="D51" s="67">
        <f>IF(MapWeight!C52&lt;&gt;"", $C$20*MapWeight!C52, "")</f>
        <v>77.5</v>
      </c>
      <c r="E51" s="68" t="str">
        <f>IF(MapWeight!D52&lt;&gt;"", $C$20*MapWeight!D52, "")</f>
        <v/>
      </c>
      <c r="F51" s="68" t="str">
        <f>IF(MapWeight!E52&lt;&gt;"", $C$20*MapWeight!E52, "")</f>
        <v/>
      </c>
      <c r="G51" s="67">
        <f>IF(MapWeight!F52&lt;&gt;"", $C$20*MapWeight!F52, "")</f>
        <v>77.5</v>
      </c>
      <c r="H51" s="68" t="str">
        <f>IF(MapWeight!G52&lt;&gt;"", $C$20*MapWeight!G52, "")</f>
        <v/>
      </c>
      <c r="I51" s="68" t="str">
        <f>IF(MapWeight!H52&lt;&gt;"", $C$20*MapWeight!H52, "")</f>
        <v/>
      </c>
      <c r="J51" s="67" t="str">
        <f>IF(MapWeight!I52&lt;&gt;"", $C$20*MapWeight!I52, "")</f>
        <v/>
      </c>
      <c r="K51" s="68" t="str">
        <f>IF(MapWeight!J52&lt;&gt;"", $C$20*MapWeight!J52, "")</f>
        <v/>
      </c>
      <c r="L51" s="68" t="str">
        <f>IF(MapWeight!K52&lt;&gt;"", $C$20*MapWeight!K52, "")</f>
        <v/>
      </c>
      <c r="M51" s="68" t="str">
        <f>IF(MapWeight!L52&lt;&gt;"", $C$20*MapWeight!L52, "")</f>
        <v/>
      </c>
      <c r="N51" s="68" t="str">
        <f>IF(MapWeight!M52&lt;&gt;"", $C$20*MapWeight!M52, "")</f>
        <v/>
      </c>
    </row>
    <row r="52">
      <c r="A52" s="65"/>
      <c r="B52" s="2" t="s">
        <v>61</v>
      </c>
      <c r="C52" s="70">
        <f>CLO_Attainments!AK50</f>
        <v>72.5</v>
      </c>
      <c r="D52" s="71" t="str">
        <f>IF(MapWeight!C53&lt;&gt;"", $C$21*MapWeight!C53, "")</f>
        <v/>
      </c>
      <c r="E52" s="72">
        <f>IF(MapWeight!D53&lt;&gt;"", $C$21*MapWeight!D53, "")</f>
        <v>72.5</v>
      </c>
      <c r="F52" s="71" t="str">
        <f>IF(MapWeight!E53&lt;&gt;"", $C$21*MapWeight!E53, "")</f>
        <v/>
      </c>
      <c r="G52" s="71" t="str">
        <f>IF(MapWeight!F53&lt;&gt;"", $C$21*MapWeight!F53, "")</f>
        <v/>
      </c>
      <c r="H52" s="72">
        <f>IF(MapWeight!G53&lt;&gt;"", $C$21*MapWeight!G53, "")</f>
        <v>72.5</v>
      </c>
      <c r="I52" s="71" t="str">
        <f>IF(MapWeight!H53&lt;&gt;"", $C$21*MapWeight!H53, "")</f>
        <v/>
      </c>
      <c r="J52" s="71" t="str">
        <f>IF(MapWeight!I53&lt;&gt;"", $C$21*MapWeight!I53, "")</f>
        <v/>
      </c>
      <c r="K52" s="72">
        <f>IF(MapWeight!J53&lt;&gt;"", $C$21*MapWeight!J53, "")</f>
        <v>145</v>
      </c>
      <c r="L52" s="71" t="str">
        <f>IF(MapWeight!K53&lt;&gt;"", $C$21*MapWeight!K53, "")</f>
        <v/>
      </c>
      <c r="M52" s="71" t="str">
        <f>IF(MapWeight!L53&lt;&gt;"", $C$21*MapWeight!L53, "")</f>
        <v/>
      </c>
      <c r="N52" s="71" t="str">
        <f>IF(MapWeight!M53&lt;&gt;"", $C$21*MapWeight!M53, "")</f>
        <v/>
      </c>
    </row>
    <row r="53">
      <c r="A53" s="73"/>
      <c r="B53" s="33" t="s">
        <v>65</v>
      </c>
      <c r="C53" s="74">
        <f>CLO_Attainments!AL50</f>
        <v>72.5</v>
      </c>
      <c r="D53" s="75" t="str">
        <f>IF(MapWeight!C54&lt;&gt;"", $C$22*MapWeight!C54, "")</f>
        <v/>
      </c>
      <c r="E53" s="75" t="str">
        <f>IF(MapWeight!D54&lt;&gt;"", $C$22*MapWeight!D54, "")</f>
        <v/>
      </c>
      <c r="F53" s="76">
        <f>IF(MapWeight!E54&lt;&gt;"", $C$22*MapWeight!E54, "")</f>
        <v>146.6666667</v>
      </c>
      <c r="G53" s="75" t="str">
        <f>IF(MapWeight!F54&lt;&gt;"", $C$22*MapWeight!F54, "")</f>
        <v/>
      </c>
      <c r="H53" s="75" t="str">
        <f>IF(MapWeight!G54&lt;&gt;"", $C$22*MapWeight!G54, "")</f>
        <v/>
      </c>
      <c r="I53" s="76">
        <f>IF(MapWeight!H54&lt;&gt;"", $C$22*MapWeight!H54, "")</f>
        <v>146.6666667</v>
      </c>
      <c r="J53" s="75" t="str">
        <f>IF(MapWeight!I54&lt;&gt;"", $C$22*MapWeight!I54, "")</f>
        <v/>
      </c>
      <c r="K53" s="75" t="str">
        <f>IF(MapWeight!J54&lt;&gt;"", $C$22*MapWeight!J54, "")</f>
        <v/>
      </c>
      <c r="L53" s="76" t="str">
        <f>IF(MapWeight!K54&lt;&gt;"", $C$22*MapWeight!K54, "")</f>
        <v/>
      </c>
      <c r="M53" s="75" t="str">
        <f>IF(MapWeight!L54&lt;&gt;"", $C$22*MapWeight!L54, "")</f>
        <v/>
      </c>
      <c r="N53" s="75" t="str">
        <f>IF(MapWeight!M54&lt;&gt;"", $C$22*MapWeight!M54, "")</f>
        <v/>
      </c>
    </row>
    <row r="54">
      <c r="A54" s="60" t="s">
        <v>39</v>
      </c>
      <c r="B54" s="39"/>
      <c r="C54" s="61">
        <f>AVERAGE(C55:C57)</f>
        <v>79.16666667</v>
      </c>
      <c r="D54" s="77">
        <f>IF(MapWeight!C55&lt;&gt;0, SUM(D55:D57)/MapWeight!C55, "")</f>
        <v>77.5</v>
      </c>
      <c r="E54" s="77">
        <f>IF(MapWeight!D55&lt;&gt;0, SUM(E55:E57)/MapWeight!D55, "")</f>
        <v>72.5</v>
      </c>
      <c r="F54" s="62">
        <f>IF(MapWeight!E55&lt;&gt;0, SUM(F55:F57)/MapWeight!E55, "")</f>
        <v>73.33333333</v>
      </c>
      <c r="G54" s="77">
        <f>IF(MapWeight!F55&lt;&gt;0, SUM(G55:G57)/MapWeight!F55, "")</f>
        <v>77.5</v>
      </c>
      <c r="H54" s="77">
        <f>IF(MapWeight!G55&lt;&gt;0, SUM(H55:H57)/MapWeight!G55, "")</f>
        <v>72.5</v>
      </c>
      <c r="I54" s="62">
        <f>IF(MapWeight!H55&lt;&gt;0, SUM(I55:I57)/MapWeight!H55, "")</f>
        <v>73.33333333</v>
      </c>
      <c r="J54" s="77" t="str">
        <f>IF(MapWeight!I55&lt;&gt;0, SUM(J55:J57)/MapWeight!I55, "")</f>
        <v/>
      </c>
      <c r="K54" s="77" t="str">
        <f>IF(MapWeight!J55&lt;&gt;0, SUM(K55:K57)/MapWeight!J55, "")</f>
        <v/>
      </c>
      <c r="L54" s="62" t="str">
        <f>IF(MapWeight!K55&lt;&gt;0, SUM(L55:L57)/MapWeight!K55, "")</f>
        <v/>
      </c>
      <c r="M54" s="63" t="str">
        <f>IF(MapWeight!L55&lt;&gt;0, SUM(M55:M57)/MapWeight!L55, "")</f>
        <v/>
      </c>
      <c r="N54" s="63" t="str">
        <f>IF(MapWeight!M55&lt;&gt;0, SUM(N55:N57)/MapWeight!M55, "")</f>
        <v/>
      </c>
      <c r="O54" s="64">
        <f>AVERAGE(D54:N54)</f>
        <v>74.44444444</v>
      </c>
    </row>
    <row r="55">
      <c r="A55" s="65"/>
      <c r="B55" s="24" t="s">
        <v>55</v>
      </c>
      <c r="C55" s="66">
        <f>CLO_Attainments!AM50</f>
        <v>90</v>
      </c>
      <c r="D55" s="67">
        <f>IF(MapWeight!C56&lt;&gt;"", $C$20*MapWeight!C56, "")</f>
        <v>77.5</v>
      </c>
      <c r="E55" s="68" t="str">
        <f>IF(MapWeight!D56&lt;&gt;"", $C$20*MapWeight!D56, "")</f>
        <v/>
      </c>
      <c r="F55" s="68" t="str">
        <f>IF(MapWeight!E56&lt;&gt;"", $C$20*MapWeight!E56, "")</f>
        <v/>
      </c>
      <c r="G55" s="67">
        <f>IF(MapWeight!F56&lt;&gt;"", $C$20*MapWeight!F56, "")</f>
        <v>77.5</v>
      </c>
      <c r="H55" s="68" t="str">
        <f>IF(MapWeight!G56&lt;&gt;"", $C$20*MapWeight!G56, "")</f>
        <v/>
      </c>
      <c r="I55" s="68" t="str">
        <f>IF(MapWeight!H56&lt;&gt;"", $C$20*MapWeight!H56, "")</f>
        <v/>
      </c>
      <c r="J55" s="67" t="str">
        <f>IF(MapWeight!I56&lt;&gt;"", $C$20*MapWeight!I56, "")</f>
        <v/>
      </c>
      <c r="K55" s="68" t="str">
        <f>IF(MapWeight!J56&lt;&gt;"", $C$20*MapWeight!J56, "")</f>
        <v/>
      </c>
      <c r="L55" s="68" t="str">
        <f>IF(MapWeight!K56&lt;&gt;"", $C$20*MapWeight!K56, "")</f>
        <v/>
      </c>
      <c r="M55" s="68" t="str">
        <f>IF(MapWeight!L56&lt;&gt;"", $C$20*MapWeight!L56, "")</f>
        <v/>
      </c>
      <c r="N55" s="68" t="str">
        <f>IF(MapWeight!M56&lt;&gt;"", $C$20*MapWeight!M56, "")</f>
        <v/>
      </c>
    </row>
    <row r="56">
      <c r="A56" s="65"/>
      <c r="B56" s="2" t="s">
        <v>61</v>
      </c>
      <c r="C56" s="70">
        <f>CLO_Attainments!AN50</f>
        <v>67.5</v>
      </c>
      <c r="D56" s="71" t="str">
        <f>IF(MapWeight!C57&lt;&gt;"", $C$21*MapWeight!C57, "")</f>
        <v/>
      </c>
      <c r="E56" s="72">
        <f>IF(MapWeight!D57&lt;&gt;"", $C$21*MapWeight!D57, "")</f>
        <v>72.5</v>
      </c>
      <c r="F56" s="71" t="str">
        <f>IF(MapWeight!E57&lt;&gt;"", $C$21*MapWeight!E57, "")</f>
        <v/>
      </c>
      <c r="G56" s="71" t="str">
        <f>IF(MapWeight!F57&lt;&gt;"", $C$21*MapWeight!F57, "")</f>
        <v/>
      </c>
      <c r="H56" s="72">
        <f>IF(MapWeight!G57&lt;&gt;"", $C$21*MapWeight!G57, "")</f>
        <v>72.5</v>
      </c>
      <c r="I56" s="71" t="str">
        <f>IF(MapWeight!H57&lt;&gt;"", $C$21*MapWeight!H57, "")</f>
        <v/>
      </c>
      <c r="J56" s="71" t="str">
        <f>IF(MapWeight!I57&lt;&gt;"", $C$21*MapWeight!I57, "")</f>
        <v/>
      </c>
      <c r="K56" s="72" t="str">
        <f>IF(MapWeight!J57&lt;&gt;"", $C$21*MapWeight!J57, "")</f>
        <v/>
      </c>
      <c r="L56" s="71" t="str">
        <f>IF(MapWeight!K57&lt;&gt;"", $C$21*MapWeight!K57, "")</f>
        <v/>
      </c>
      <c r="M56" s="71" t="str">
        <f>IF(MapWeight!L57&lt;&gt;"", $C$21*MapWeight!L57, "")</f>
        <v/>
      </c>
      <c r="N56" s="71" t="str">
        <f>IF(MapWeight!M57&lt;&gt;"", $C$21*MapWeight!M57, "")</f>
        <v/>
      </c>
    </row>
    <row r="57">
      <c r="A57" s="73"/>
      <c r="B57" s="33" t="s">
        <v>65</v>
      </c>
      <c r="C57" s="74">
        <f>CLO_Attainments!AO50</f>
        <v>80</v>
      </c>
      <c r="D57" s="75" t="str">
        <f>IF(MapWeight!C58&lt;&gt;"", $C$22*MapWeight!C58, "")</f>
        <v/>
      </c>
      <c r="E57" s="75" t="str">
        <f>IF(MapWeight!D58&lt;&gt;"", $C$22*MapWeight!D58, "")</f>
        <v/>
      </c>
      <c r="F57" s="76">
        <f>IF(MapWeight!E58&lt;&gt;"", $C$22*MapWeight!E58, "")</f>
        <v>73.33333333</v>
      </c>
      <c r="G57" s="75" t="str">
        <f>IF(MapWeight!F58&lt;&gt;"", $C$22*MapWeight!F58, "")</f>
        <v/>
      </c>
      <c r="H57" s="75" t="str">
        <f>IF(MapWeight!G58&lt;&gt;"", $C$22*MapWeight!G58, "")</f>
        <v/>
      </c>
      <c r="I57" s="76">
        <f>IF(MapWeight!H58&lt;&gt;"", $C$22*MapWeight!H58, "")</f>
        <v>73.33333333</v>
      </c>
      <c r="J57" s="75" t="str">
        <f>IF(MapWeight!I58&lt;&gt;"", $C$22*MapWeight!I58, "")</f>
        <v/>
      </c>
      <c r="K57" s="75" t="str">
        <f>IF(MapWeight!J58&lt;&gt;"", $C$22*MapWeight!J58, "")</f>
        <v/>
      </c>
      <c r="L57" s="76" t="str">
        <f>IF(MapWeight!K58&lt;&gt;"", $C$22*MapWeight!K58, "")</f>
        <v/>
      </c>
      <c r="M57" s="75" t="str">
        <f>IF(MapWeight!L58&lt;&gt;"", $C$22*MapWeight!L58, "")</f>
        <v/>
      </c>
      <c r="N57" s="75" t="str">
        <f>IF(MapWeight!M58&lt;&gt;"", $C$22*MapWeight!M58, "")</f>
        <v/>
      </c>
    </row>
    <row r="58">
      <c r="A58" s="60" t="s">
        <v>40</v>
      </c>
      <c r="B58" s="39"/>
      <c r="C58" s="61">
        <f>AVERAGE(C59:C61)</f>
        <v>79.16666667</v>
      </c>
      <c r="D58" s="77">
        <f>IF(MapWeight!C59&lt;&gt;0, SUM(D59:D61)/MapWeight!C59, "")</f>
        <v>77.5</v>
      </c>
      <c r="E58" s="77">
        <f>IF(MapWeight!D59&lt;&gt;0, SUM(E59:E61)/MapWeight!D59, "")</f>
        <v>72.5</v>
      </c>
      <c r="F58" s="62">
        <f>IF(MapWeight!E59&lt;&gt;0, SUM(F59:F61)/MapWeight!E59, "")</f>
        <v>73.33333333</v>
      </c>
      <c r="G58" s="77">
        <f>IF(MapWeight!F59&lt;&gt;0, SUM(G59:G61)/MapWeight!F59, "")</f>
        <v>77.5</v>
      </c>
      <c r="H58" s="77">
        <f>IF(MapWeight!G59&lt;&gt;0, SUM(H59:H61)/MapWeight!G59, "")</f>
        <v>72.5</v>
      </c>
      <c r="I58" s="62">
        <f>IF(MapWeight!H59&lt;&gt;0, SUM(I59:I61)/MapWeight!H59, "")</f>
        <v>73.33333333</v>
      </c>
      <c r="J58" s="77" t="str">
        <f>IF(MapWeight!I59&lt;&gt;0, SUM(J59:J61)/MapWeight!I59, "")</f>
        <v/>
      </c>
      <c r="K58" s="77" t="str">
        <f>IF(MapWeight!J59&lt;&gt;0, SUM(K59:K61)/MapWeight!J59, "")</f>
        <v/>
      </c>
      <c r="L58" s="62" t="str">
        <f>IF(MapWeight!K59&lt;&gt;0, SUM(L59:L61)/MapWeight!K59, "")</f>
        <v/>
      </c>
      <c r="M58" s="77" t="str">
        <f>IF(MapWeight!L59&lt;&gt;0, SUM(M59:M61)/MapWeight!L59, "")</f>
        <v/>
      </c>
      <c r="N58" s="77" t="str">
        <f>IF(MapWeight!M59&lt;&gt;0, SUM(N59:N61)/MapWeight!M59, "")</f>
        <v/>
      </c>
      <c r="O58" s="64">
        <f>AVERAGE(D58:N58)</f>
        <v>74.44444444</v>
      </c>
    </row>
    <row r="59">
      <c r="A59" s="65"/>
      <c r="B59" s="24" t="s">
        <v>55</v>
      </c>
      <c r="C59" s="66">
        <f>CLO_Attainments!AP50</f>
        <v>80</v>
      </c>
      <c r="D59" s="67">
        <f>IF(MapWeight!C60&lt;&gt;"", $C$20*MapWeight!C60, "")</f>
        <v>77.5</v>
      </c>
      <c r="E59" s="68" t="str">
        <f>IF(MapWeight!D60&lt;&gt;"", $C$20*MapWeight!D60, "")</f>
        <v/>
      </c>
      <c r="F59" s="68" t="str">
        <f>IF(MapWeight!E60&lt;&gt;"", $C$20*MapWeight!E60, "")</f>
        <v/>
      </c>
      <c r="G59" s="67">
        <f>IF(MapWeight!F60&lt;&gt;"", $C$20*MapWeight!F60, "")</f>
        <v>77.5</v>
      </c>
      <c r="H59" s="68" t="str">
        <f>IF(MapWeight!G60&lt;&gt;"", $C$20*MapWeight!G60, "")</f>
        <v/>
      </c>
      <c r="I59" s="68" t="str">
        <f>IF(MapWeight!H60&lt;&gt;"", $C$20*MapWeight!H60, "")</f>
        <v/>
      </c>
      <c r="J59" s="67" t="str">
        <f>IF(MapWeight!I60&lt;&gt;"", $C$20*MapWeight!I60, "")</f>
        <v/>
      </c>
      <c r="K59" s="68" t="str">
        <f>IF(MapWeight!J60&lt;&gt;"", $C$20*MapWeight!J60, "")</f>
        <v/>
      </c>
      <c r="L59" s="68" t="str">
        <f>IF(MapWeight!K60&lt;&gt;"", $C$20*MapWeight!K60, "")</f>
        <v/>
      </c>
      <c r="M59" s="67" t="str">
        <f>IF(MapWeight!L60&lt;&gt;"", $C$20*MapWeight!L60, "")</f>
        <v/>
      </c>
      <c r="N59" s="68" t="str">
        <f>IF(MapWeight!M60&lt;&gt;"", $C$20*MapWeight!M60, "")</f>
        <v/>
      </c>
    </row>
    <row r="60">
      <c r="A60" s="65"/>
      <c r="B60" s="2" t="s">
        <v>61</v>
      </c>
      <c r="C60" s="70">
        <f>CLO_Attainments!AQ50</f>
        <v>85</v>
      </c>
      <c r="D60" s="71" t="str">
        <f>IF(MapWeight!C61&lt;&gt;"", $C$21*MapWeight!C61, "")</f>
        <v/>
      </c>
      <c r="E60" s="72">
        <f>IF(MapWeight!D61&lt;&gt;"", $C$21*MapWeight!D61, "")</f>
        <v>72.5</v>
      </c>
      <c r="F60" s="71" t="str">
        <f>IF(MapWeight!E61&lt;&gt;"", $C$21*MapWeight!E61, "")</f>
        <v/>
      </c>
      <c r="G60" s="71" t="str">
        <f>IF(MapWeight!F61&lt;&gt;"", $C$21*MapWeight!F61, "")</f>
        <v/>
      </c>
      <c r="H60" s="72">
        <f>IF(MapWeight!G61&lt;&gt;"", $C$21*MapWeight!G61, "")</f>
        <v>72.5</v>
      </c>
      <c r="I60" s="71" t="str">
        <f>IF(MapWeight!H61&lt;&gt;"", $C$21*MapWeight!H61, "")</f>
        <v/>
      </c>
      <c r="J60" s="71" t="str">
        <f>IF(MapWeight!I61&lt;&gt;"", $C$21*MapWeight!I61, "")</f>
        <v/>
      </c>
      <c r="K60" s="72" t="str">
        <f>IF(MapWeight!J61&lt;&gt;"", $C$21*MapWeight!J61, "")</f>
        <v/>
      </c>
      <c r="L60" s="71" t="str">
        <f>IF(MapWeight!K61&lt;&gt;"", $C$21*MapWeight!K61, "")</f>
        <v/>
      </c>
      <c r="M60" s="71" t="str">
        <f>IF(MapWeight!L61&lt;&gt;"", $C$21*MapWeight!L61, "")</f>
        <v/>
      </c>
      <c r="N60" s="72" t="str">
        <f>IF(MapWeight!M61&lt;&gt;"", $C$21*MapWeight!M61, "")</f>
        <v/>
      </c>
    </row>
    <row r="61">
      <c r="A61" s="73"/>
      <c r="B61" s="33" t="s">
        <v>65</v>
      </c>
      <c r="C61" s="74">
        <f>CLO_Attainments!AR50</f>
        <v>72.5</v>
      </c>
      <c r="D61" s="75" t="str">
        <f>IF(MapWeight!C62&lt;&gt;"", $C$22*MapWeight!C62, "")</f>
        <v/>
      </c>
      <c r="E61" s="75" t="str">
        <f>IF(MapWeight!D62&lt;&gt;"", $C$22*MapWeight!D62, "")</f>
        <v/>
      </c>
      <c r="F61" s="76">
        <f>IF(MapWeight!E62&lt;&gt;"", $C$22*MapWeight!E62, "")</f>
        <v>146.6666667</v>
      </c>
      <c r="G61" s="75" t="str">
        <f>IF(MapWeight!F62&lt;&gt;"", $C$22*MapWeight!F62, "")</f>
        <v/>
      </c>
      <c r="H61" s="75" t="str">
        <f>IF(MapWeight!G62&lt;&gt;"", $C$22*MapWeight!G62, "")</f>
        <v/>
      </c>
      <c r="I61" s="76">
        <f>IF(MapWeight!H62&lt;&gt;"", $C$22*MapWeight!H62, "")</f>
        <v>146.6666667</v>
      </c>
      <c r="J61" s="75" t="str">
        <f>IF(MapWeight!I62&lt;&gt;"", $C$22*MapWeight!I62, "")</f>
        <v/>
      </c>
      <c r="K61" s="75" t="str">
        <f>IF(MapWeight!J62&lt;&gt;"", $C$22*MapWeight!J62, "")</f>
        <v/>
      </c>
      <c r="L61" s="76" t="str">
        <f>IF(MapWeight!K62&lt;&gt;"", $C$22*MapWeight!K62, "")</f>
        <v/>
      </c>
      <c r="M61" s="75" t="str">
        <f>IF(MapWeight!L62&lt;&gt;"", $C$22*MapWeight!L62, "")</f>
        <v/>
      </c>
      <c r="N61" s="75" t="str">
        <f>IF(MapWeight!M62&lt;&gt;"", $C$22*MapWeight!M62, "")</f>
        <v/>
      </c>
    </row>
    <row r="62">
      <c r="A62" s="60" t="s">
        <v>41</v>
      </c>
      <c r="B62" s="39"/>
      <c r="C62" s="61">
        <f>AVERAGE(C63:C65)</f>
        <v>79.16666667</v>
      </c>
      <c r="D62" s="77">
        <f>IF(MapWeight!C63&lt;&gt;0, SUM(D63:D65)/MapWeight!C63, "")</f>
        <v>77.5</v>
      </c>
      <c r="E62" s="77">
        <f>IF(MapWeight!D63&lt;&gt;0, SUM(E63:E65)/MapWeight!D63, "")</f>
        <v>72.5</v>
      </c>
      <c r="F62" s="62">
        <f>IF(MapWeight!E63&lt;&gt;0, SUM(F63:F65)/MapWeight!E63, "")</f>
        <v>73.33333333</v>
      </c>
      <c r="G62" s="77">
        <f>IF(MapWeight!F63&lt;&gt;0, SUM(G63:G65)/MapWeight!F63, "")</f>
        <v>77.5</v>
      </c>
      <c r="H62" s="77">
        <f>IF(MapWeight!G63&lt;&gt;0, SUM(H63:H65)/MapWeight!G63, "")</f>
        <v>72.5</v>
      </c>
      <c r="I62" s="62">
        <f>IF(MapWeight!H63&lt;&gt;0, SUM(I63:I65)/MapWeight!H63, "")</f>
        <v>73.33333333</v>
      </c>
      <c r="J62" s="77">
        <f>IF(MapWeight!I63&lt;&gt;0, SUM(J63:J65)/MapWeight!I63, "")</f>
        <v>77.5</v>
      </c>
      <c r="K62" s="77">
        <f>IF(MapWeight!J63&lt;&gt;0, SUM(K63:K65)/MapWeight!J63, "")</f>
        <v>72.5</v>
      </c>
      <c r="L62" s="62" t="str">
        <f>IF(MapWeight!K63&lt;&gt;0, SUM(L63:L65)/MapWeight!K63, "")</f>
        <v/>
      </c>
      <c r="M62" s="77" t="str">
        <f>IF(MapWeight!L63&lt;&gt;0, SUM(M63:M65)/MapWeight!L63, "")</f>
        <v/>
      </c>
      <c r="N62" s="77" t="str">
        <f>IF(MapWeight!M63&lt;&gt;0, SUM(N63:N65)/MapWeight!M63, "")</f>
        <v/>
      </c>
      <c r="O62" s="64">
        <f>AVERAGE(D62:N62)</f>
        <v>74.58333333</v>
      </c>
    </row>
    <row r="63">
      <c r="A63" s="65"/>
      <c r="B63" s="24" t="s">
        <v>55</v>
      </c>
      <c r="C63" s="66">
        <f>CLO_Attainments!AS50</f>
        <v>77.5</v>
      </c>
      <c r="D63" s="67">
        <f>IF(MapWeight!C64&lt;&gt;"", $C$20*MapWeight!C64, "")</f>
        <v>77.5</v>
      </c>
      <c r="E63" s="68" t="str">
        <f>IF(MapWeight!D64&lt;&gt;"", $C$20*MapWeight!D64, "")</f>
        <v/>
      </c>
      <c r="F63" s="68" t="str">
        <f>IF(MapWeight!E64&lt;&gt;"", $C$20*MapWeight!E64, "")</f>
        <v/>
      </c>
      <c r="G63" s="67">
        <f>IF(MapWeight!F64&lt;&gt;"", $C$20*MapWeight!F64, "")</f>
        <v>77.5</v>
      </c>
      <c r="H63" s="68" t="str">
        <f>IF(MapWeight!G64&lt;&gt;"", $C$20*MapWeight!G64, "")</f>
        <v/>
      </c>
      <c r="I63" s="68" t="str">
        <f>IF(MapWeight!H64&lt;&gt;"", $C$20*MapWeight!H64, "")</f>
        <v/>
      </c>
      <c r="J63" s="67">
        <f>IF(MapWeight!I64&lt;&gt;"", $C$20*MapWeight!I64, "")</f>
        <v>77.5</v>
      </c>
      <c r="K63" s="68" t="str">
        <f>IF(MapWeight!J64&lt;&gt;"", $C$20*MapWeight!J64, "")</f>
        <v/>
      </c>
      <c r="L63" s="68" t="str">
        <f>IF(MapWeight!K64&lt;&gt;"", $C$20*MapWeight!K64, "")</f>
        <v/>
      </c>
      <c r="M63" s="67" t="str">
        <f>IF(MapWeight!L64&lt;&gt;"", $C$20*MapWeight!L64, "")</f>
        <v/>
      </c>
      <c r="N63" s="68" t="str">
        <f>IF(MapWeight!M64&lt;&gt;"", $C$20*MapWeight!M64, "")</f>
        <v/>
      </c>
    </row>
    <row r="64">
      <c r="A64" s="65"/>
      <c r="B64" s="2" t="s">
        <v>61</v>
      </c>
      <c r="C64" s="70">
        <f>CLO_Attainments!AT50</f>
        <v>80</v>
      </c>
      <c r="D64" s="71" t="str">
        <f>IF(MapWeight!C65&lt;&gt;"", $C$21*MapWeight!C65, "")</f>
        <v/>
      </c>
      <c r="E64" s="72">
        <f>IF(MapWeight!D65&lt;&gt;"", $C$21*MapWeight!D65, "")</f>
        <v>145</v>
      </c>
      <c r="F64" s="71" t="str">
        <f>IF(MapWeight!E65&lt;&gt;"", $C$21*MapWeight!E65, "")</f>
        <v/>
      </c>
      <c r="G64" s="71" t="str">
        <f>IF(MapWeight!F65&lt;&gt;"", $C$21*MapWeight!F65, "")</f>
        <v/>
      </c>
      <c r="H64" s="72">
        <f>IF(MapWeight!G65&lt;&gt;"", $C$21*MapWeight!G65, "")</f>
        <v>145</v>
      </c>
      <c r="I64" s="71" t="str">
        <f>IF(MapWeight!H65&lt;&gt;"", $C$21*MapWeight!H65, "")</f>
        <v/>
      </c>
      <c r="J64" s="71" t="str">
        <f>IF(MapWeight!I65&lt;&gt;"", $C$21*MapWeight!I65, "")</f>
        <v/>
      </c>
      <c r="K64" s="72">
        <f>IF(MapWeight!J65&lt;&gt;"", $C$21*MapWeight!J65, "")</f>
        <v>145</v>
      </c>
      <c r="L64" s="71" t="str">
        <f>IF(MapWeight!K65&lt;&gt;"", $C$21*MapWeight!K65, "")</f>
        <v/>
      </c>
      <c r="M64" s="71" t="str">
        <f>IF(MapWeight!L65&lt;&gt;"", $C$21*MapWeight!L65, "")</f>
        <v/>
      </c>
      <c r="N64" s="72" t="str">
        <f>IF(MapWeight!M65&lt;&gt;"", $C$21*MapWeight!M65, "")</f>
        <v/>
      </c>
    </row>
    <row r="65">
      <c r="A65" s="73"/>
      <c r="B65" s="33" t="s">
        <v>65</v>
      </c>
      <c r="C65" s="74">
        <f>CLO_Attainments!AU50</f>
        <v>80</v>
      </c>
      <c r="D65" s="75" t="str">
        <f>IF(MapWeight!C66&lt;&gt;"", $C$22*MapWeight!C66, "")</f>
        <v/>
      </c>
      <c r="E65" s="75" t="str">
        <f>IF(MapWeight!D66&lt;&gt;"", $C$22*MapWeight!D66, "")</f>
        <v/>
      </c>
      <c r="F65" s="76">
        <f>IF(MapWeight!E66&lt;&gt;"", $C$22*MapWeight!E66, "")</f>
        <v>146.6666667</v>
      </c>
      <c r="G65" s="75" t="str">
        <f>IF(MapWeight!F66&lt;&gt;"", $C$22*MapWeight!F66, "")</f>
        <v/>
      </c>
      <c r="H65" s="75" t="str">
        <f>IF(MapWeight!G66&lt;&gt;"", $C$22*MapWeight!G66, "")</f>
        <v/>
      </c>
      <c r="I65" s="76">
        <f>IF(MapWeight!H66&lt;&gt;"", $C$22*MapWeight!H66, "")</f>
        <v>146.6666667</v>
      </c>
      <c r="J65" s="75" t="str">
        <f>IF(MapWeight!I66&lt;&gt;"", $C$22*MapWeight!I66, "")</f>
        <v/>
      </c>
      <c r="K65" s="75" t="str">
        <f>IF(MapWeight!J66&lt;&gt;"", $C$22*MapWeight!J66, "")</f>
        <v/>
      </c>
      <c r="L65" s="76" t="str">
        <f>IF(MapWeight!K66&lt;&gt;"", $C$22*MapWeight!K66, "")</f>
        <v/>
      </c>
      <c r="M65" s="75" t="str">
        <f>IF(MapWeight!L66&lt;&gt;"", $C$22*MapWeight!L66, "")</f>
        <v/>
      </c>
      <c r="N65" s="75" t="str">
        <f>IF(MapWeight!M66&lt;&gt;"", $C$22*MapWeight!M66, "")</f>
        <v/>
      </c>
    </row>
    <row r="66">
      <c r="A66" s="60" t="s">
        <v>42</v>
      </c>
      <c r="B66" s="39"/>
      <c r="C66" s="61">
        <f>AVERAGE(C67:C69)</f>
        <v>70.83333333</v>
      </c>
      <c r="D66" s="63" t="str">
        <f>IF(MapWeight!C67&lt;&gt;0, SUM(D67:D69)/MapWeight!C67, "")</f>
        <v/>
      </c>
      <c r="E66" s="63">
        <f>IF(MapWeight!D67&lt;&gt;0, SUM(E67:E69)/MapWeight!D67, "")</f>
        <v>77.5</v>
      </c>
      <c r="F66" s="62">
        <f>IF(MapWeight!E67&lt;&gt;0, SUM(F67:F69)/MapWeight!E67, "")</f>
        <v>72.5</v>
      </c>
      <c r="G66" s="63">
        <f>IF(MapWeight!F67&lt;&gt;0, SUM(G67:G69)/MapWeight!F67, "")</f>
        <v>73.33333333</v>
      </c>
      <c r="H66" s="63">
        <f>IF(MapWeight!G67&lt;&gt;0, SUM(H67:H69)/MapWeight!G67, "")</f>
        <v>73.33333333</v>
      </c>
      <c r="I66" s="62">
        <f>IF(MapWeight!H67&lt;&gt;0, SUM(I67:I69)/MapWeight!H67, "")</f>
        <v>73.33333333</v>
      </c>
      <c r="J66" s="63" t="str">
        <f>IF(MapWeight!I67&lt;&gt;0, SUM(J67:J69)/MapWeight!I67, "")</f>
        <v/>
      </c>
      <c r="K66" s="63" t="str">
        <f>IF(MapWeight!J67&lt;&gt;0, SUM(K67:K69)/MapWeight!J67, "")</f>
        <v/>
      </c>
      <c r="L66" s="62" t="str">
        <f>IF(MapWeight!K67&lt;&gt;0, SUM(L67:L69)/MapWeight!K67, "")</f>
        <v/>
      </c>
      <c r="M66" s="63" t="str">
        <f>IF(MapWeight!L67&lt;&gt;0, SUM(M67:M69)/MapWeight!L67, "")</f>
        <v/>
      </c>
      <c r="N66" s="63" t="str">
        <f>IF(MapWeight!M67&lt;&gt;0, SUM(N67:N69)/MapWeight!M67, "")</f>
        <v/>
      </c>
      <c r="O66" s="64">
        <f>AVERAGE(D66:N66)</f>
        <v>74</v>
      </c>
    </row>
    <row r="67">
      <c r="A67" s="65"/>
      <c r="B67" s="24" t="s">
        <v>55</v>
      </c>
      <c r="C67" s="66">
        <f>CLO_Attainments!AV50</f>
        <v>70</v>
      </c>
      <c r="D67" s="68" t="str">
        <f>IF(MapWeight!C68&lt;&gt;"", $C$20*MapWeight!C68, "")</f>
        <v/>
      </c>
      <c r="E67" s="68">
        <f>IF(MapWeight!D68&lt;&gt;"", $C$20*MapWeight!D68, "")</f>
        <v>77.5</v>
      </c>
      <c r="F67" s="67" t="str">
        <f>IF(MapWeight!E68&lt;&gt;"", $C$20*MapWeight!E68, "")</f>
        <v/>
      </c>
      <c r="G67" s="68" t="str">
        <f>IF(MapWeight!F68&lt;&gt;"", $C$20*MapWeight!F68, "")</f>
        <v/>
      </c>
      <c r="H67" s="68" t="str">
        <f>IF(MapWeight!G68&lt;&gt;"", $C$20*MapWeight!G68, "")</f>
        <v/>
      </c>
      <c r="I67" s="68" t="str">
        <f>IF(MapWeight!H68&lt;&gt;"", $C$20*MapWeight!H68, "")</f>
        <v/>
      </c>
      <c r="J67" s="68" t="str">
        <f>IF(MapWeight!I68&lt;&gt;"", $C$20*MapWeight!I68, "")</f>
        <v/>
      </c>
      <c r="K67" s="68" t="str">
        <f>IF(MapWeight!J68&lt;&gt;"", $C$20*MapWeight!J68, "")</f>
        <v/>
      </c>
      <c r="L67" s="68" t="str">
        <f>IF(MapWeight!K68&lt;&gt;"", $C$20*MapWeight!K68, "")</f>
        <v/>
      </c>
      <c r="M67" s="68" t="str">
        <f>IF(MapWeight!L68&lt;&gt;"", $C$20*MapWeight!L68, "")</f>
        <v/>
      </c>
      <c r="N67" s="68" t="str">
        <f>IF(MapWeight!M68&lt;&gt;"", $C$20*MapWeight!M68, "")</f>
        <v/>
      </c>
    </row>
    <row r="68">
      <c r="A68" s="65"/>
      <c r="B68" s="2" t="s">
        <v>61</v>
      </c>
      <c r="C68" s="70">
        <f>CLO_Attainments!AW50</f>
        <v>72.5</v>
      </c>
      <c r="D68" s="71" t="str">
        <f>IF(MapWeight!C69&lt;&gt;"", $C$21*MapWeight!C69, "")</f>
        <v/>
      </c>
      <c r="E68" s="71" t="str">
        <f>IF(MapWeight!D69&lt;&gt;"", $C$21*MapWeight!D69, "")</f>
        <v/>
      </c>
      <c r="F68" s="71">
        <f>IF(MapWeight!E69&lt;&gt;"", $C$21*MapWeight!E69, "")</f>
        <v>72.5</v>
      </c>
      <c r="G68" s="71" t="str">
        <f>IF(MapWeight!F69&lt;&gt;"", $C$21*MapWeight!F69, "")</f>
        <v/>
      </c>
      <c r="H68" s="71" t="str">
        <f>IF(MapWeight!G69&lt;&gt;"", $C$21*MapWeight!G69, "")</f>
        <v/>
      </c>
      <c r="I68" s="72" t="str">
        <f>IF(MapWeight!H69&lt;&gt;"", $C$21*MapWeight!H69, "")</f>
        <v/>
      </c>
      <c r="J68" s="71" t="str">
        <f>IF(MapWeight!I69&lt;&gt;"", $C$21*MapWeight!I69, "")</f>
        <v/>
      </c>
      <c r="K68" s="71" t="str">
        <f>IF(MapWeight!J69&lt;&gt;"", $C$21*MapWeight!J69, "")</f>
        <v/>
      </c>
      <c r="L68" s="71" t="str">
        <f>IF(MapWeight!K69&lt;&gt;"", $C$21*MapWeight!K69, "")</f>
        <v/>
      </c>
      <c r="M68" s="71" t="str">
        <f>IF(MapWeight!L69&lt;&gt;"", $C$21*MapWeight!L69, "")</f>
        <v/>
      </c>
      <c r="N68" s="71" t="str">
        <f>IF(MapWeight!M69&lt;&gt;"", $C$21*MapWeight!M69, "")</f>
        <v/>
      </c>
    </row>
    <row r="69">
      <c r="A69" s="73"/>
      <c r="B69" s="33" t="s">
        <v>65</v>
      </c>
      <c r="C69" s="74">
        <f>CLO_Attainments!AX50</f>
        <v>70</v>
      </c>
      <c r="D69" s="75" t="str">
        <f>IF(MapWeight!C70&lt;&gt;"", $C$22*MapWeight!C70, "")</f>
        <v/>
      </c>
      <c r="E69" s="75" t="str">
        <f>IF(MapWeight!D70&lt;&gt;"", $C$22*MapWeight!D70, "")</f>
        <v/>
      </c>
      <c r="F69" s="75" t="str">
        <f>IF(MapWeight!E70&lt;&gt;"", $C$22*MapWeight!E70, "")</f>
        <v/>
      </c>
      <c r="G69" s="75">
        <f>IF(MapWeight!F70&lt;&gt;"", $C$22*MapWeight!F70, "")</f>
        <v>146.6666667</v>
      </c>
      <c r="H69" s="75">
        <f>IF(MapWeight!G70&lt;&gt;"", $C$22*MapWeight!G70, "")</f>
        <v>146.6666667</v>
      </c>
      <c r="I69" s="75">
        <f>IF(MapWeight!H70&lt;&gt;"", $C$22*MapWeight!H70, "")</f>
        <v>146.6666667</v>
      </c>
      <c r="J69" s="75" t="str">
        <f>IF(MapWeight!I70&lt;&gt;"", $C$22*MapWeight!I70, "")</f>
        <v/>
      </c>
      <c r="K69" s="75" t="str">
        <f>IF(MapWeight!J70&lt;&gt;"", $C$22*MapWeight!J70, "")</f>
        <v/>
      </c>
      <c r="L69" s="76" t="str">
        <f>IF(MapWeight!K70&lt;&gt;"", $C$22*MapWeight!K70, "")</f>
        <v/>
      </c>
      <c r="M69" s="75" t="str">
        <f>IF(MapWeight!L70&lt;&gt;"", $C$22*MapWeight!L70, "")</f>
        <v/>
      </c>
      <c r="N69" s="75" t="str">
        <f>IF(MapWeight!M70&lt;&gt;"", $C$22*MapWeight!M70, "")</f>
        <v/>
      </c>
    </row>
    <row r="70">
      <c r="A70" s="60" t="s">
        <v>44</v>
      </c>
      <c r="B70" s="39"/>
      <c r="C70" s="61">
        <f>AVERAGE(C71:C73)</f>
        <v>70</v>
      </c>
      <c r="D70" s="63">
        <f>IF(MapWeight!C71&lt;&gt;0, SUM(D71:D73)/MapWeight!C71, "")</f>
        <v>77.5</v>
      </c>
      <c r="E70" s="63">
        <f>IF(MapWeight!D71&lt;&gt;0, SUM(E71:E73)/MapWeight!D71, "")</f>
        <v>72.5</v>
      </c>
      <c r="F70" s="62">
        <f>IF(MapWeight!E71&lt;&gt;0, SUM(F71:F73)/MapWeight!E71, "")</f>
        <v>73.33333333</v>
      </c>
      <c r="G70" s="63">
        <f>IF(MapWeight!F71&lt;&gt;0, SUM(G71:G73)/MapWeight!F71, "")</f>
        <v>72.5</v>
      </c>
      <c r="H70" s="63">
        <f>IF(MapWeight!G71&lt;&gt;0, SUM(H71:H73)/MapWeight!G71, "")</f>
        <v>73.33333333</v>
      </c>
      <c r="I70" s="62">
        <f>IF(MapWeight!H71&lt;&gt;0, SUM(I71:I73)/MapWeight!H71, "")</f>
        <v>73.33333333</v>
      </c>
      <c r="J70" s="63" t="str">
        <f>IF(MapWeight!I71&lt;&gt;0, SUM(J71:J73)/MapWeight!I71, "")</f>
        <v/>
      </c>
      <c r="K70" s="63" t="str">
        <f>IF(MapWeight!J71&lt;&gt;0, SUM(K71:K73)/MapWeight!J71, "")</f>
        <v/>
      </c>
      <c r="L70" s="62" t="str">
        <f>IF(MapWeight!K71&lt;&gt;0, SUM(L71:L73)/MapWeight!K71, "")</f>
        <v/>
      </c>
      <c r="M70" s="63" t="str">
        <f>IF(MapWeight!L71&lt;&gt;0, SUM(M71:M73)/MapWeight!L71, "")</f>
        <v/>
      </c>
      <c r="N70" s="63" t="str">
        <f>IF(MapWeight!M71&lt;&gt;0, SUM(N71:N73)/MapWeight!M71, "")</f>
        <v/>
      </c>
      <c r="O70" s="64">
        <f>AVERAGE(D70:N70)</f>
        <v>73.75</v>
      </c>
    </row>
    <row r="71">
      <c r="A71" s="65"/>
      <c r="B71" s="24" t="s">
        <v>55</v>
      </c>
      <c r="C71" s="66">
        <f>CLO_Attainments!AY50</f>
        <v>72.5</v>
      </c>
      <c r="D71" s="68">
        <f>IF(MapWeight!C72&lt;&gt;"", $C$20*MapWeight!C72, "")</f>
        <v>77.5</v>
      </c>
      <c r="E71" s="68" t="str">
        <f>IF(MapWeight!D72&lt;&gt;"", $C$20*MapWeight!D72, "")</f>
        <v/>
      </c>
      <c r="F71" s="67" t="str">
        <f>IF(MapWeight!E72&lt;&gt;"", $C$20*MapWeight!E72, "")</f>
        <v/>
      </c>
      <c r="G71" s="68" t="str">
        <f>IF(MapWeight!F72&lt;&gt;"", $C$20*MapWeight!F72, "")</f>
        <v/>
      </c>
      <c r="H71" s="68" t="str">
        <f>IF(MapWeight!G72&lt;&gt;"", $C$20*MapWeight!G72, "")</f>
        <v/>
      </c>
      <c r="I71" s="68" t="str">
        <f>IF(MapWeight!H72&lt;&gt;"", $C$20*MapWeight!H72, "")</f>
        <v/>
      </c>
      <c r="J71" s="68" t="str">
        <f>IF(MapWeight!I72&lt;&gt;"", $C$20*MapWeight!I72, "")</f>
        <v/>
      </c>
      <c r="K71" s="68" t="str">
        <f>IF(MapWeight!J72&lt;&gt;"", $C$20*MapWeight!J72, "")</f>
        <v/>
      </c>
      <c r="L71" s="68" t="str">
        <f>IF(MapWeight!K72&lt;&gt;"", $C$20*MapWeight!K72, "")</f>
        <v/>
      </c>
      <c r="M71" s="68" t="str">
        <f>IF(MapWeight!L72&lt;&gt;"", $C$20*MapWeight!L72, "")</f>
        <v/>
      </c>
      <c r="N71" s="68" t="str">
        <f>IF(MapWeight!M72&lt;&gt;"", $C$20*MapWeight!M72, "")</f>
        <v/>
      </c>
    </row>
    <row r="72">
      <c r="A72" s="65"/>
      <c r="B72" s="2" t="s">
        <v>61</v>
      </c>
      <c r="C72" s="70">
        <f>CLO_Attainments!AZ50</f>
        <v>75</v>
      </c>
      <c r="D72" s="71" t="str">
        <f>IF(MapWeight!C73&lt;&gt;"", $C$21*MapWeight!C73, "")</f>
        <v/>
      </c>
      <c r="E72" s="71">
        <f>IF(MapWeight!D73&lt;&gt;"", $C$21*MapWeight!D73, "")</f>
        <v>145</v>
      </c>
      <c r="F72" s="71" t="str">
        <f>IF(MapWeight!E73&lt;&gt;"", $C$21*MapWeight!E73, "")</f>
        <v/>
      </c>
      <c r="G72" s="71">
        <f>IF(MapWeight!F73&lt;&gt;"", $C$21*MapWeight!F73, "")</f>
        <v>217.5</v>
      </c>
      <c r="H72" s="71" t="str">
        <f>IF(MapWeight!G73&lt;&gt;"", $C$21*MapWeight!G73, "")</f>
        <v/>
      </c>
      <c r="I72" s="72" t="str">
        <f>IF(MapWeight!H73&lt;&gt;"", $C$21*MapWeight!H73, "")</f>
        <v/>
      </c>
      <c r="J72" s="71" t="str">
        <f>IF(MapWeight!I73&lt;&gt;"", $C$21*MapWeight!I73, "")</f>
        <v/>
      </c>
      <c r="K72" s="71" t="str">
        <f>IF(MapWeight!J73&lt;&gt;"", $C$21*MapWeight!J73, "")</f>
        <v/>
      </c>
      <c r="L72" s="71" t="str">
        <f>IF(MapWeight!K73&lt;&gt;"", $C$21*MapWeight!K73, "")</f>
        <v/>
      </c>
      <c r="M72" s="71" t="str">
        <f>IF(MapWeight!L73&lt;&gt;"", $C$21*MapWeight!L73, "")</f>
        <v/>
      </c>
      <c r="N72" s="71" t="str">
        <f>IF(MapWeight!M73&lt;&gt;"", $C$21*MapWeight!M73, "")</f>
        <v/>
      </c>
    </row>
    <row r="73">
      <c r="A73" s="73"/>
      <c r="B73" s="33" t="s">
        <v>65</v>
      </c>
      <c r="C73" s="74">
        <f>CLO_Attainments!BA50</f>
        <v>62.5</v>
      </c>
      <c r="D73" s="75" t="str">
        <f>IF(MapWeight!C74&lt;&gt;"", $C$22*MapWeight!C74, "")</f>
        <v/>
      </c>
      <c r="E73" s="75" t="str">
        <f>IF(MapWeight!D74&lt;&gt;"", $C$22*MapWeight!D74, "")</f>
        <v/>
      </c>
      <c r="F73" s="75">
        <f>IF(MapWeight!E74&lt;&gt;"", $C$22*MapWeight!E74, "")</f>
        <v>220</v>
      </c>
      <c r="G73" s="75" t="str">
        <f>IF(MapWeight!F74&lt;&gt;"", $C$22*MapWeight!F74, "")</f>
        <v/>
      </c>
      <c r="H73" s="75">
        <f>IF(MapWeight!G74&lt;&gt;"", $C$22*MapWeight!G74, "")</f>
        <v>220</v>
      </c>
      <c r="I73" s="75">
        <f>IF(MapWeight!H74&lt;&gt;"", $C$22*MapWeight!H74, "")</f>
        <v>220</v>
      </c>
      <c r="J73" s="75" t="str">
        <f>IF(MapWeight!I74&lt;&gt;"", $C$22*MapWeight!I74, "")</f>
        <v/>
      </c>
      <c r="K73" s="75" t="str">
        <f>IF(MapWeight!J74&lt;&gt;"", $C$22*MapWeight!J74, "")</f>
        <v/>
      </c>
      <c r="L73" s="76" t="str">
        <f>IF(MapWeight!K74&lt;&gt;"", $C$22*MapWeight!K74, "")</f>
        <v/>
      </c>
      <c r="M73" s="75" t="str">
        <f>IF(MapWeight!L74&lt;&gt;"", $C$22*MapWeight!L74, "")</f>
        <v/>
      </c>
      <c r="N73" s="75" t="str">
        <f>IF(MapWeight!M74&lt;&gt;"", $C$22*MapWeight!M74, "")</f>
        <v/>
      </c>
    </row>
    <row r="74">
      <c r="A74" s="60" t="s">
        <v>46</v>
      </c>
      <c r="B74" s="39"/>
      <c r="C74" s="61">
        <f>AVERAGE(C75:C77)</f>
        <v>77.5</v>
      </c>
      <c r="D74" s="63" t="str">
        <f>IF(MapWeight!C75&lt;&gt;0, SUM(D75:D77)/MapWeight!C75, "")</f>
        <v/>
      </c>
      <c r="E74" s="63" t="str">
        <f>IF(MapWeight!D75&lt;&gt;0, SUM(E75:E77)/MapWeight!D75, "")</f>
        <v/>
      </c>
      <c r="F74" s="62">
        <f>IF(MapWeight!E75&lt;&gt;0, SUM(F75:F77)/MapWeight!E75, "")</f>
        <v>77.5</v>
      </c>
      <c r="G74" s="63">
        <f>IF(MapWeight!F75&lt;&gt;0, SUM(G75:G77)/MapWeight!F75, "")</f>
        <v>72.5</v>
      </c>
      <c r="H74" s="63">
        <f>IF(MapWeight!G75&lt;&gt;0, SUM(H75:H77)/MapWeight!G75, "")</f>
        <v>73.33333333</v>
      </c>
      <c r="I74" s="62">
        <f>IF(MapWeight!H75&lt;&gt;0, SUM(I75:I77)/MapWeight!H75, "")</f>
        <v>73.33333333</v>
      </c>
      <c r="J74" s="63" t="str">
        <f>IF(MapWeight!I75&lt;&gt;0, SUM(J75:J77)/MapWeight!I75, "")</f>
        <v/>
      </c>
      <c r="K74" s="63" t="str">
        <f>IF(MapWeight!J75&lt;&gt;0, SUM(K75:K77)/MapWeight!J75, "")</f>
        <v/>
      </c>
      <c r="L74" s="62" t="str">
        <f>IF(MapWeight!K75&lt;&gt;0, SUM(L75:L77)/MapWeight!K75, "")</f>
        <v/>
      </c>
      <c r="M74" s="63" t="str">
        <f>IF(MapWeight!L75&lt;&gt;0, SUM(M75:M77)/MapWeight!L75, "")</f>
        <v/>
      </c>
      <c r="N74" s="63" t="str">
        <f>IF(MapWeight!M75&lt;&gt;0, SUM(N75:N77)/MapWeight!M75, "")</f>
        <v/>
      </c>
      <c r="O74" s="64">
        <f>AVERAGE(D74:N74)</f>
        <v>74.16666667</v>
      </c>
    </row>
    <row r="75">
      <c r="A75" s="65"/>
      <c r="B75" s="24" t="s">
        <v>55</v>
      </c>
      <c r="C75" s="66">
        <f>CLO_Attainments!BB50</f>
        <v>72.5</v>
      </c>
      <c r="D75" s="68" t="str">
        <f>IF(MapWeight!C76&lt;&gt;"", $C$20*MapWeight!C76, "")</f>
        <v/>
      </c>
      <c r="E75" s="68" t="str">
        <f>IF(MapWeight!D76&lt;&gt;"", $C$20*MapWeight!D76, "")</f>
        <v/>
      </c>
      <c r="F75" s="67">
        <f>IF(MapWeight!E76&lt;&gt;"", $C$20*MapWeight!E76, "")</f>
        <v>232.5</v>
      </c>
      <c r="G75" s="68" t="str">
        <f>IF(MapWeight!F76&lt;&gt;"", $C$20*MapWeight!F76, "")</f>
        <v/>
      </c>
      <c r="H75" s="68" t="str">
        <f>IF(MapWeight!G76&lt;&gt;"", $C$20*MapWeight!G76, "")</f>
        <v/>
      </c>
      <c r="I75" s="68" t="str">
        <f>IF(MapWeight!H76&lt;&gt;"", $C$20*MapWeight!H76, "")</f>
        <v/>
      </c>
      <c r="J75" s="68" t="str">
        <f>IF(MapWeight!I76&lt;&gt;"", $C$20*MapWeight!I76, "")</f>
        <v/>
      </c>
      <c r="K75" s="68" t="str">
        <f>IF(MapWeight!J76&lt;&gt;"", $C$20*MapWeight!J76, "")</f>
        <v/>
      </c>
      <c r="L75" s="68" t="str">
        <f>IF(MapWeight!K76&lt;&gt;"", $C$20*MapWeight!K76, "")</f>
        <v/>
      </c>
      <c r="M75" s="68" t="str">
        <f>IF(MapWeight!L76&lt;&gt;"", $C$20*MapWeight!L76, "")</f>
        <v/>
      </c>
      <c r="N75" s="68" t="str">
        <f>IF(MapWeight!M76&lt;&gt;"", $C$20*MapWeight!M76, "")</f>
        <v/>
      </c>
    </row>
    <row r="76">
      <c r="A76" s="65"/>
      <c r="B76" s="2" t="s">
        <v>61</v>
      </c>
      <c r="C76" s="70">
        <f>CLO_Attainments!BC50</f>
        <v>75</v>
      </c>
      <c r="D76" s="71" t="str">
        <f>IF(MapWeight!C77&lt;&gt;"", $C$21*MapWeight!C77, "")</f>
        <v/>
      </c>
      <c r="E76" s="71" t="str">
        <f>IF(MapWeight!D77&lt;&gt;"", $C$21*MapWeight!D77, "")</f>
        <v/>
      </c>
      <c r="F76" s="71" t="str">
        <f>IF(MapWeight!E77&lt;&gt;"", $C$21*MapWeight!E77, "")</f>
        <v/>
      </c>
      <c r="G76" s="71">
        <f>IF(MapWeight!F77&lt;&gt;"", $C$21*MapWeight!F77, "")</f>
        <v>217.5</v>
      </c>
      <c r="H76" s="71" t="str">
        <f>IF(MapWeight!G77&lt;&gt;"", $C$21*MapWeight!G77, "")</f>
        <v/>
      </c>
      <c r="I76" s="72" t="str">
        <f>IF(MapWeight!H77&lt;&gt;"", $C$21*MapWeight!H77, "")</f>
        <v/>
      </c>
      <c r="J76" s="71" t="str">
        <f>IF(MapWeight!I77&lt;&gt;"", $C$21*MapWeight!I77, "")</f>
        <v/>
      </c>
      <c r="K76" s="71" t="str">
        <f>IF(MapWeight!J77&lt;&gt;"", $C$21*MapWeight!J77, "")</f>
        <v/>
      </c>
      <c r="L76" s="71" t="str">
        <f>IF(MapWeight!K77&lt;&gt;"", $C$21*MapWeight!K77, "")</f>
        <v/>
      </c>
      <c r="M76" s="71" t="str">
        <f>IF(MapWeight!L77&lt;&gt;"", $C$21*MapWeight!L77, "")</f>
        <v/>
      </c>
      <c r="N76" s="71" t="str">
        <f>IF(MapWeight!M77&lt;&gt;"", $C$21*MapWeight!M77, "")</f>
        <v/>
      </c>
    </row>
    <row r="77">
      <c r="A77" s="73"/>
      <c r="B77" s="33" t="s">
        <v>65</v>
      </c>
      <c r="C77" s="74">
        <f>CLO_Attainments!BD50</f>
        <v>85</v>
      </c>
      <c r="D77" s="75" t="str">
        <f>IF(MapWeight!C78&lt;&gt;"", $C$22*MapWeight!C78, "")</f>
        <v/>
      </c>
      <c r="E77" s="75" t="str">
        <f>IF(MapWeight!D78&lt;&gt;"", $C$22*MapWeight!D78, "")</f>
        <v/>
      </c>
      <c r="F77" s="75" t="str">
        <f>IF(MapWeight!E78&lt;&gt;"", $C$22*MapWeight!E78, "")</f>
        <v/>
      </c>
      <c r="G77" s="75" t="str">
        <f>IF(MapWeight!F78&lt;&gt;"", $C$22*MapWeight!F78, "")</f>
        <v/>
      </c>
      <c r="H77" s="75">
        <f>IF(MapWeight!G78&lt;&gt;"", $C$22*MapWeight!G78, "")</f>
        <v>220</v>
      </c>
      <c r="I77" s="75">
        <f>IF(MapWeight!H78&lt;&gt;"", $C$22*MapWeight!H78, "")</f>
        <v>220</v>
      </c>
      <c r="J77" s="75" t="str">
        <f>IF(MapWeight!I78&lt;&gt;"", $C$22*MapWeight!I78, "")</f>
        <v/>
      </c>
      <c r="K77" s="75" t="str">
        <f>IF(MapWeight!J78&lt;&gt;"", $C$22*MapWeight!J78, "")</f>
        <v/>
      </c>
      <c r="L77" s="76" t="str">
        <f>IF(MapWeight!K78&lt;&gt;"", $C$22*MapWeight!K78, "")</f>
        <v/>
      </c>
      <c r="M77" s="75" t="str">
        <f>IF(MapWeight!L78&lt;&gt;"", $C$22*MapWeight!L78, "")</f>
        <v/>
      </c>
      <c r="N77" s="75" t="str">
        <f>IF(MapWeight!M78&lt;&gt;"", $C$22*MapWeight!M78, "")</f>
        <v/>
      </c>
    </row>
    <row r="78">
      <c r="A78" s="60" t="s">
        <v>47</v>
      </c>
      <c r="B78" s="39"/>
      <c r="C78" s="61">
        <f>AVERAGE(C79:C81)</f>
        <v>75</v>
      </c>
      <c r="D78" s="63" t="str">
        <f>IF(MapWeight!C79&lt;&gt;0, SUM(D79:D81)/MapWeight!C79, "")</f>
        <v/>
      </c>
      <c r="E78" s="63" t="str">
        <f>IF(MapWeight!D79&lt;&gt;0, SUM(E79:E81)/MapWeight!D79, "")</f>
        <v/>
      </c>
      <c r="F78" s="62">
        <f>IF(MapWeight!E79&lt;&gt;0, SUM(F79:F81)/MapWeight!E79, "")</f>
        <v>77.5</v>
      </c>
      <c r="G78" s="63" t="str">
        <f>IF(MapWeight!F79&lt;&gt;0, SUM(G79:G81)/MapWeight!F79, "")</f>
        <v/>
      </c>
      <c r="H78" s="63" t="str">
        <f>IF(MapWeight!G79&lt;&gt;0, SUM(H79:H81)/MapWeight!G79, "")</f>
        <v/>
      </c>
      <c r="I78" s="62">
        <f>IF(MapWeight!H79&lt;&gt;0, SUM(I79:I81)/MapWeight!H79, "")</f>
        <v>72.5</v>
      </c>
      <c r="J78" s="63">
        <f>IF(MapWeight!I79&lt;&gt;0, SUM(J79:J81)/MapWeight!I79, "")</f>
        <v>74.44444444</v>
      </c>
      <c r="K78" s="63" t="str">
        <f>IF(MapWeight!J79&lt;&gt;0, SUM(K79:K81)/MapWeight!J79, "")</f>
        <v/>
      </c>
      <c r="L78" s="62">
        <f>IF(MapWeight!K79&lt;&gt;0, SUM(L79:L81)/MapWeight!K79, "")</f>
        <v>73.33333333</v>
      </c>
      <c r="M78" s="63" t="str">
        <f>IF(MapWeight!L79&lt;&gt;0, SUM(M79:M81)/MapWeight!L79, "")</f>
        <v/>
      </c>
      <c r="N78" s="63" t="str">
        <f>IF(MapWeight!M79&lt;&gt;0, SUM(N79:N81)/MapWeight!M79, "")</f>
        <v/>
      </c>
      <c r="O78" s="64">
        <f>AVERAGE(D78:N78)</f>
        <v>74.44444444</v>
      </c>
    </row>
    <row r="79">
      <c r="A79" s="65"/>
      <c r="B79" s="24" t="s">
        <v>55</v>
      </c>
      <c r="C79" s="66">
        <f>CLO_Attainments!BE50</f>
        <v>75</v>
      </c>
      <c r="D79" s="68" t="str">
        <f>IF(MapWeight!C80&lt;&gt;"", $C$20*MapWeight!C80, "")</f>
        <v/>
      </c>
      <c r="E79" s="68" t="str">
        <f>IF(MapWeight!D80&lt;&gt;"", $C$20*MapWeight!D80, "")</f>
        <v/>
      </c>
      <c r="F79" s="67">
        <f>IF(MapWeight!E80&lt;&gt;"", $C$20*MapWeight!E80, "")</f>
        <v>232.5</v>
      </c>
      <c r="G79" s="68" t="str">
        <f>IF(MapWeight!F80&lt;&gt;"", $C$20*MapWeight!F80, "")</f>
        <v/>
      </c>
      <c r="H79" s="68" t="str">
        <f>IF(MapWeight!G80&lt;&gt;"", $C$20*MapWeight!G80, "")</f>
        <v/>
      </c>
      <c r="I79" s="68" t="str">
        <f>IF(MapWeight!H80&lt;&gt;"", $C$20*MapWeight!H80, "")</f>
        <v/>
      </c>
      <c r="J79" s="68">
        <f>IF(MapWeight!I80&lt;&gt;"", $C$20*MapWeight!I80, "")</f>
        <v>155</v>
      </c>
      <c r="K79" s="68" t="str">
        <f>IF(MapWeight!J80&lt;&gt;"", $C$20*MapWeight!J80, "")</f>
        <v/>
      </c>
      <c r="L79" s="68" t="str">
        <f>IF(MapWeight!K80&lt;&gt;"", $C$20*MapWeight!K80, "")</f>
        <v/>
      </c>
      <c r="M79" s="68" t="str">
        <f>IF(MapWeight!L80&lt;&gt;"", $C$20*MapWeight!L80, "")</f>
        <v/>
      </c>
      <c r="N79" s="68" t="str">
        <f>IF(MapWeight!M80&lt;&gt;"", $C$20*MapWeight!M80, "")</f>
        <v/>
      </c>
    </row>
    <row r="80">
      <c r="A80" s="65"/>
      <c r="B80" s="2" t="s">
        <v>61</v>
      </c>
      <c r="C80" s="70">
        <f>CLO_Attainments!BF50</f>
        <v>82.5</v>
      </c>
      <c r="D80" s="71" t="str">
        <f>IF(MapWeight!C81&lt;&gt;"", $C$21*MapWeight!C81, "")</f>
        <v/>
      </c>
      <c r="E80" s="71" t="str">
        <f>IF(MapWeight!D81&lt;&gt;"", $C$21*MapWeight!D81, "")</f>
        <v/>
      </c>
      <c r="F80" s="71" t="str">
        <f>IF(MapWeight!E81&lt;&gt;"", $C$21*MapWeight!E81, "")</f>
        <v/>
      </c>
      <c r="G80" s="71" t="str">
        <f>IF(MapWeight!F81&lt;&gt;"", $C$21*MapWeight!F81, "")</f>
        <v/>
      </c>
      <c r="H80" s="71" t="str">
        <f>IF(MapWeight!G81&lt;&gt;"", $C$21*MapWeight!G81, "")</f>
        <v/>
      </c>
      <c r="I80" s="72">
        <f>IF(MapWeight!H81&lt;&gt;"", $C$21*MapWeight!H81, "")</f>
        <v>217.5</v>
      </c>
      <c r="J80" s="71">
        <f>IF(MapWeight!I81&lt;&gt;"", $C$21*MapWeight!I81, "")</f>
        <v>145</v>
      </c>
      <c r="K80" s="71" t="str">
        <f>IF(MapWeight!J81&lt;&gt;"", $C$21*MapWeight!J81, "")</f>
        <v/>
      </c>
      <c r="L80" s="71" t="str">
        <f>IF(MapWeight!K81&lt;&gt;"", $C$21*MapWeight!K81, "")</f>
        <v/>
      </c>
      <c r="M80" s="71" t="str">
        <f>IF(MapWeight!L81&lt;&gt;"", $C$21*MapWeight!L81, "")</f>
        <v/>
      </c>
      <c r="N80" s="71" t="str">
        <f>IF(MapWeight!M81&lt;&gt;"", $C$21*MapWeight!M81, "")</f>
        <v/>
      </c>
    </row>
    <row r="81">
      <c r="A81" s="73"/>
      <c r="B81" s="33" t="s">
        <v>65</v>
      </c>
      <c r="C81" s="74">
        <f>CLO_Attainments!BG50</f>
        <v>67.5</v>
      </c>
      <c r="D81" s="75" t="str">
        <f>IF(MapWeight!C82&lt;&gt;"", $C$22*MapWeight!C82, "")</f>
        <v/>
      </c>
      <c r="E81" s="75" t="str">
        <f>IF(MapWeight!D82&lt;&gt;"", $C$22*MapWeight!D82, "")</f>
        <v/>
      </c>
      <c r="F81" s="75" t="str">
        <f>IF(MapWeight!E82&lt;&gt;"", $C$22*MapWeight!E82, "")</f>
        <v/>
      </c>
      <c r="G81" s="75" t="str">
        <f>IF(MapWeight!F82&lt;&gt;"", $C$22*MapWeight!F82, "")</f>
        <v/>
      </c>
      <c r="H81" s="75" t="str">
        <f>IF(MapWeight!G82&lt;&gt;"", $C$22*MapWeight!G82, "")</f>
        <v/>
      </c>
      <c r="I81" s="75" t="str">
        <f>IF(MapWeight!H82&lt;&gt;"", $C$22*MapWeight!H82, "")</f>
        <v/>
      </c>
      <c r="J81" s="75">
        <f>IF(MapWeight!I82&lt;&gt;"", $C$22*MapWeight!I82, "")</f>
        <v>146.6666667</v>
      </c>
      <c r="K81" s="75" t="str">
        <f>IF(MapWeight!J82&lt;&gt;"", $C$22*MapWeight!J82, "")</f>
        <v/>
      </c>
      <c r="L81" s="76">
        <f>IF(MapWeight!K82&lt;&gt;"", $C$22*MapWeight!K82, "")</f>
        <v>220</v>
      </c>
      <c r="M81" s="75" t="str">
        <f>IF(MapWeight!L82&lt;&gt;"", $C$22*MapWeight!L82, "")</f>
        <v/>
      </c>
      <c r="N81" s="75" t="str">
        <f>IF(MapWeight!M82&lt;&gt;"", $C$22*MapWeight!M82, "")</f>
        <v/>
      </c>
    </row>
    <row r="82">
      <c r="A82" s="60" t="s">
        <v>48</v>
      </c>
      <c r="B82" s="39"/>
      <c r="C82" s="61">
        <f>AVERAGE(C83:C85)</f>
        <v>71.66666667</v>
      </c>
      <c r="D82" s="63" t="str">
        <f>IF(MapWeight!C83&lt;&gt;0, SUM(D83:D85)/MapWeight!C83, "")</f>
        <v/>
      </c>
      <c r="E82" s="63" t="str">
        <f>IF(MapWeight!D83&lt;&gt;0, SUM(E83:E85)/MapWeight!D83, "")</f>
        <v/>
      </c>
      <c r="F82" s="62" t="str">
        <f>IF(MapWeight!E83&lt;&gt;0, SUM(F83:F85)/MapWeight!E83, "")</f>
        <v/>
      </c>
      <c r="G82" s="63">
        <f>IF(MapWeight!F83&lt;&gt;0, SUM(G83:G85)/MapWeight!F83, "")</f>
        <v>77.5</v>
      </c>
      <c r="H82" s="63">
        <f>IF(MapWeight!G83&lt;&gt;0, SUM(H83:H85)/MapWeight!G83, "")</f>
        <v>72.5</v>
      </c>
      <c r="I82" s="62">
        <f>IF(MapWeight!H83&lt;&gt;0, SUM(I83:I85)/MapWeight!H83, "")</f>
        <v>73.33333333</v>
      </c>
      <c r="J82" s="63">
        <f>IF(MapWeight!I83&lt;&gt;0, SUM(J83:J85)/MapWeight!I83, "")</f>
        <v>74.44444444</v>
      </c>
      <c r="K82" s="63">
        <f>IF(MapWeight!J83&lt;&gt;0, SUM(K83:K85)/MapWeight!J83, "")</f>
        <v>73.33333333</v>
      </c>
      <c r="L82" s="62">
        <f>IF(MapWeight!K83&lt;&gt;0, SUM(L83:L85)/MapWeight!K83, "")</f>
        <v>73.33333333</v>
      </c>
      <c r="M82" s="63" t="str">
        <f>IF(MapWeight!L83&lt;&gt;0, SUM(M83:M85)/MapWeight!L83, "")</f>
        <v/>
      </c>
      <c r="N82" s="63" t="str">
        <f>IF(MapWeight!M83&lt;&gt;0, SUM(N83:N85)/MapWeight!M83, "")</f>
        <v/>
      </c>
      <c r="O82" s="64">
        <f>AVERAGE(D82:N82)</f>
        <v>74.07407407</v>
      </c>
    </row>
    <row r="83">
      <c r="A83" s="65"/>
      <c r="B83" s="24" t="s">
        <v>55</v>
      </c>
      <c r="C83" s="66">
        <f>CLO_Attainments!BH50</f>
        <v>72.5</v>
      </c>
      <c r="D83" s="68" t="str">
        <f>IF(MapWeight!C84&lt;&gt;"", $C$20*MapWeight!C84, "")</f>
        <v/>
      </c>
      <c r="E83" s="68" t="str">
        <f>IF(MapWeight!D84&lt;&gt;"", $C$20*MapWeight!D84, "")</f>
        <v/>
      </c>
      <c r="F83" s="67" t="str">
        <f>IF(MapWeight!E84&lt;&gt;"", $C$20*MapWeight!E84, "")</f>
        <v/>
      </c>
      <c r="G83" s="68">
        <f>IF(MapWeight!F84&lt;&gt;"", $C$20*MapWeight!F84, "")</f>
        <v>77.5</v>
      </c>
      <c r="H83" s="68" t="str">
        <f>IF(MapWeight!G84&lt;&gt;"", $C$20*MapWeight!G84, "")</f>
        <v/>
      </c>
      <c r="I83" s="68" t="str">
        <f>IF(MapWeight!H84&lt;&gt;"", $C$20*MapWeight!H84, "")</f>
        <v/>
      </c>
      <c r="J83" s="68">
        <f>IF(MapWeight!I84&lt;&gt;"", $C$20*MapWeight!I84, "")</f>
        <v>155</v>
      </c>
      <c r="K83" s="68" t="str">
        <f>IF(MapWeight!J84&lt;&gt;"", $C$20*MapWeight!J84, "")</f>
        <v/>
      </c>
      <c r="L83" s="68" t="str">
        <f>IF(MapWeight!K84&lt;&gt;"", $C$20*MapWeight!K84, "")</f>
        <v/>
      </c>
      <c r="M83" s="68" t="str">
        <f>IF(MapWeight!L84&lt;&gt;"", $C$20*MapWeight!L84, "")</f>
        <v/>
      </c>
      <c r="N83" s="68" t="str">
        <f>IF(MapWeight!M84&lt;&gt;"", $C$20*MapWeight!M84, "")</f>
        <v/>
      </c>
    </row>
    <row r="84">
      <c r="A84" s="65"/>
      <c r="B84" s="2" t="s">
        <v>61</v>
      </c>
      <c r="C84" s="70">
        <f>CLO_Attainments!BI50</f>
        <v>67.5</v>
      </c>
      <c r="D84" s="71" t="str">
        <f>IF(MapWeight!C85&lt;&gt;"", $C$21*MapWeight!C85, "")</f>
        <v/>
      </c>
      <c r="E84" s="71" t="str">
        <f>IF(MapWeight!D85&lt;&gt;"", $C$21*MapWeight!D85, "")</f>
        <v/>
      </c>
      <c r="F84" s="71" t="str">
        <f>IF(MapWeight!E85&lt;&gt;"", $C$21*MapWeight!E85, "")</f>
        <v/>
      </c>
      <c r="G84" s="71" t="str">
        <f>IF(MapWeight!F85&lt;&gt;"", $C$21*MapWeight!F85, "")</f>
        <v/>
      </c>
      <c r="H84" s="71">
        <f>IF(MapWeight!G85&lt;&gt;"", $C$21*MapWeight!G85, "")</f>
        <v>145</v>
      </c>
      <c r="I84" s="72" t="str">
        <f>IF(MapWeight!H85&lt;&gt;"", $C$21*MapWeight!H85, "")</f>
        <v/>
      </c>
      <c r="J84" s="71">
        <f>IF(MapWeight!I85&lt;&gt;"", $C$21*MapWeight!I85, "")</f>
        <v>145</v>
      </c>
      <c r="K84" s="71" t="str">
        <f>IF(MapWeight!J85&lt;&gt;"", $C$21*MapWeight!J85, "")</f>
        <v/>
      </c>
      <c r="L84" s="71" t="str">
        <f>IF(MapWeight!K85&lt;&gt;"", $C$21*MapWeight!K85, "")</f>
        <v/>
      </c>
      <c r="M84" s="71" t="str">
        <f>IF(MapWeight!L85&lt;&gt;"", $C$21*MapWeight!L85, "")</f>
        <v/>
      </c>
      <c r="N84" s="71" t="str">
        <f>IF(MapWeight!M85&lt;&gt;"", $C$21*MapWeight!M85, "")</f>
        <v/>
      </c>
    </row>
    <row r="85">
      <c r="A85" s="73"/>
      <c r="B85" s="33" t="s">
        <v>65</v>
      </c>
      <c r="C85" s="74">
        <f>CLO_Attainments!BJ50</f>
        <v>75</v>
      </c>
      <c r="D85" s="75" t="str">
        <f>IF(MapWeight!C86&lt;&gt;"", $C$22*MapWeight!C86, "")</f>
        <v/>
      </c>
      <c r="E85" s="75" t="str">
        <f>IF(MapWeight!D86&lt;&gt;"", $C$22*MapWeight!D86, "")</f>
        <v/>
      </c>
      <c r="F85" s="75" t="str">
        <f>IF(MapWeight!E86&lt;&gt;"", $C$22*MapWeight!E86, "")</f>
        <v/>
      </c>
      <c r="G85" s="75" t="str">
        <f>IF(MapWeight!F86&lt;&gt;"", $C$22*MapWeight!F86, "")</f>
        <v/>
      </c>
      <c r="H85" s="75" t="str">
        <f>IF(MapWeight!G86&lt;&gt;"", $C$22*MapWeight!G86, "")</f>
        <v/>
      </c>
      <c r="I85" s="75">
        <f>IF(MapWeight!H86&lt;&gt;"", $C$22*MapWeight!H86, "")</f>
        <v>220</v>
      </c>
      <c r="J85" s="75">
        <f>IF(MapWeight!I86&lt;&gt;"", $C$22*MapWeight!I86, "")</f>
        <v>146.6666667</v>
      </c>
      <c r="K85" s="75">
        <f>IF(MapWeight!J86&lt;&gt;"", $C$22*MapWeight!J86, "")</f>
        <v>146.6666667</v>
      </c>
      <c r="L85" s="76">
        <f>IF(MapWeight!K86&lt;&gt;"", $C$22*MapWeight!K86, "")</f>
        <v>146.6666667</v>
      </c>
      <c r="M85" s="75" t="str">
        <f>IF(MapWeight!L86&lt;&gt;"", $C$22*MapWeight!L86, "")</f>
        <v/>
      </c>
      <c r="N85" s="75" t="str">
        <f>IF(MapWeight!M86&lt;&gt;"", $C$22*MapWeight!M86, "")</f>
        <v/>
      </c>
    </row>
    <row r="86">
      <c r="A86" s="60" t="s">
        <v>50</v>
      </c>
      <c r="B86" s="39"/>
      <c r="C86" s="61">
        <f>AVERAGE(C87:C89)</f>
        <v>67.5</v>
      </c>
      <c r="D86" s="63">
        <f>IF(MapWeight!C87&lt;&gt;0, SUM(D87:D89)/MapWeight!C87, "")</f>
        <v>77.5</v>
      </c>
      <c r="E86" s="63">
        <f>IF(MapWeight!D87&lt;&gt;0, SUM(E87:E89)/MapWeight!D87, "")</f>
        <v>72.5</v>
      </c>
      <c r="F86" s="62">
        <f>IF(MapWeight!E87&lt;&gt;0, SUM(F87:F89)/MapWeight!E87, "")</f>
        <v>73.33333333</v>
      </c>
      <c r="G86" s="63">
        <f>IF(MapWeight!F87&lt;&gt;0, SUM(G87:G89)/MapWeight!F87, "")</f>
        <v>77.5</v>
      </c>
      <c r="H86" s="63">
        <f>IF(MapWeight!G87&lt;&gt;0, SUM(H87:H89)/MapWeight!G87, "")</f>
        <v>72.5</v>
      </c>
      <c r="I86" s="62" t="str">
        <f>IF(MapWeight!H87&lt;&gt;0, SUM(I87:I89)/MapWeight!H87, "")</f>
        <v/>
      </c>
      <c r="J86" s="63" t="str">
        <f>IF(MapWeight!I87&lt;&gt;0, SUM(J87:J89)/MapWeight!I87, "")</f>
        <v/>
      </c>
      <c r="K86" s="63" t="str">
        <f>IF(MapWeight!J87&lt;&gt;0, SUM(K87:K89)/MapWeight!J87, "")</f>
        <v/>
      </c>
      <c r="L86" s="62" t="str">
        <f>IF(MapWeight!K87&lt;&gt;0, SUM(L87:L89)/MapWeight!K87, "")</f>
        <v/>
      </c>
      <c r="M86" s="63" t="str">
        <f>IF(MapWeight!L87&lt;&gt;0, SUM(M87:M89)/MapWeight!L87, "")</f>
        <v/>
      </c>
      <c r="N86" s="63" t="str">
        <f>IF(MapWeight!M87&lt;&gt;0, SUM(N87:N89)/MapWeight!M87, "")</f>
        <v/>
      </c>
      <c r="O86" s="64">
        <f>AVERAGE(D86:N86)</f>
        <v>74.66666667</v>
      </c>
    </row>
    <row r="87">
      <c r="A87" s="65"/>
      <c r="B87" s="24" t="s">
        <v>55</v>
      </c>
      <c r="C87" s="66">
        <f>CLO_Attainments!BK50</f>
        <v>60</v>
      </c>
      <c r="D87" s="68">
        <f>IF(MapWeight!C88&lt;&gt;"", $C$20*MapWeight!C88, "")</f>
        <v>77.5</v>
      </c>
      <c r="E87" s="68" t="str">
        <f>IF(MapWeight!D88&lt;&gt;"", $C$20*MapWeight!D88, "")</f>
        <v/>
      </c>
      <c r="F87" s="67" t="str">
        <f>IF(MapWeight!E88&lt;&gt;"", $C$20*MapWeight!E88, "")</f>
        <v/>
      </c>
      <c r="G87" s="68">
        <f>IF(MapWeight!F88&lt;&gt;"", $C$20*MapWeight!F88, "")</f>
        <v>77.5</v>
      </c>
      <c r="H87" s="68" t="str">
        <f>IF(MapWeight!G88&lt;&gt;"", $C$20*MapWeight!G88, "")</f>
        <v/>
      </c>
      <c r="I87" s="68" t="str">
        <f>IF(MapWeight!H88&lt;&gt;"", $C$20*MapWeight!H88, "")</f>
        <v/>
      </c>
      <c r="J87" s="68" t="str">
        <f>IF(MapWeight!I88&lt;&gt;"", $C$20*MapWeight!I88, "")</f>
        <v/>
      </c>
      <c r="K87" s="68" t="str">
        <f>IF(MapWeight!J88&lt;&gt;"", $C$20*MapWeight!J88, "")</f>
        <v/>
      </c>
      <c r="L87" s="68" t="str">
        <f>IF(MapWeight!K88&lt;&gt;"", $C$20*MapWeight!K88, "")</f>
        <v/>
      </c>
      <c r="M87" s="68" t="str">
        <f>IF(MapWeight!L88&lt;&gt;"", $C$20*MapWeight!L88, "")</f>
        <v/>
      </c>
      <c r="N87" s="68" t="str">
        <f>IF(MapWeight!M88&lt;&gt;"", $C$20*MapWeight!M88, "")</f>
        <v/>
      </c>
    </row>
    <row r="88">
      <c r="A88" s="65"/>
      <c r="B88" s="2" t="s">
        <v>61</v>
      </c>
      <c r="C88" s="70">
        <f>CLO_Attainments!BL50</f>
        <v>70</v>
      </c>
      <c r="D88" s="71" t="str">
        <f>IF(MapWeight!C89&lt;&gt;"", $C$21*MapWeight!C89, "")</f>
        <v/>
      </c>
      <c r="E88" s="71">
        <f>IF(MapWeight!D89&lt;&gt;"", $C$21*MapWeight!D89, "")</f>
        <v>145</v>
      </c>
      <c r="F88" s="71" t="str">
        <f>IF(MapWeight!E89&lt;&gt;"", $C$21*MapWeight!E89, "")</f>
        <v/>
      </c>
      <c r="G88" s="71" t="str">
        <f>IF(MapWeight!F89&lt;&gt;"", $C$21*MapWeight!F89, "")</f>
        <v/>
      </c>
      <c r="H88" s="71">
        <f>IF(MapWeight!G89&lt;&gt;"", $C$21*MapWeight!G89, "")</f>
        <v>145</v>
      </c>
      <c r="I88" s="72" t="str">
        <f>IF(MapWeight!H89&lt;&gt;"", $C$21*MapWeight!H89, "")</f>
        <v/>
      </c>
      <c r="J88" s="71" t="str">
        <f>IF(MapWeight!I89&lt;&gt;"", $C$21*MapWeight!I89, "")</f>
        <v/>
      </c>
      <c r="K88" s="71" t="str">
        <f>IF(MapWeight!J89&lt;&gt;"", $C$21*MapWeight!J89, "")</f>
        <v/>
      </c>
      <c r="L88" s="71" t="str">
        <f>IF(MapWeight!K89&lt;&gt;"", $C$21*MapWeight!K89, "")</f>
        <v/>
      </c>
      <c r="M88" s="71" t="str">
        <f>IF(MapWeight!L89&lt;&gt;"", $C$21*MapWeight!L89, "")</f>
        <v/>
      </c>
      <c r="N88" s="71" t="str">
        <f>IF(MapWeight!M89&lt;&gt;"", $C$21*MapWeight!M89, "")</f>
        <v/>
      </c>
    </row>
    <row r="89">
      <c r="A89" s="73"/>
      <c r="B89" s="33" t="s">
        <v>65</v>
      </c>
      <c r="C89" s="74">
        <f>CLO_Attainments!BM50</f>
        <v>72.5</v>
      </c>
      <c r="D89" s="75" t="str">
        <f>IF(MapWeight!C90&lt;&gt;"", $C$22*MapWeight!C90, "")</f>
        <v/>
      </c>
      <c r="E89" s="75" t="str">
        <f>IF(MapWeight!D90&lt;&gt;"", $C$22*MapWeight!D90, "")</f>
        <v/>
      </c>
      <c r="F89" s="75">
        <f>IF(MapWeight!E90&lt;&gt;"", $C$22*MapWeight!E90, "")</f>
        <v>220</v>
      </c>
      <c r="G89" s="75" t="str">
        <f>IF(MapWeight!F90&lt;&gt;"", $C$22*MapWeight!F90, "")</f>
        <v/>
      </c>
      <c r="H89" s="75" t="str">
        <f>IF(MapWeight!G90&lt;&gt;"", $C$22*MapWeight!G90, "")</f>
        <v/>
      </c>
      <c r="I89" s="75" t="str">
        <f>IF(MapWeight!H90&lt;&gt;"", $C$22*MapWeight!H90, "")</f>
        <v/>
      </c>
      <c r="J89" s="75" t="str">
        <f>IF(MapWeight!I90&lt;&gt;"", $C$22*MapWeight!I90, "")</f>
        <v/>
      </c>
      <c r="K89" s="75" t="str">
        <f>IF(MapWeight!J90&lt;&gt;"", $C$22*MapWeight!J90, "")</f>
        <v/>
      </c>
      <c r="L89" s="76" t="str">
        <f>IF(MapWeight!K90&lt;&gt;"", $C$22*MapWeight!K90, "")</f>
        <v/>
      </c>
      <c r="M89" s="75" t="str">
        <f>IF(MapWeight!L90&lt;&gt;"", $C$22*MapWeight!L90, "")</f>
        <v/>
      </c>
      <c r="N89" s="75" t="str">
        <f>IF(MapWeight!M90&lt;&gt;"", $C$22*MapWeight!M90, "")</f>
        <v/>
      </c>
    </row>
    <row r="90">
      <c r="A90" s="60" t="s">
        <v>51</v>
      </c>
      <c r="B90" s="39"/>
      <c r="C90" s="61">
        <f>AVERAGE(C91:C93)</f>
        <v>63.33333333</v>
      </c>
      <c r="D90" s="63">
        <f>IF(MapWeight!C91&lt;&gt;0, SUM(D91:D93)/MapWeight!C91, "")</f>
        <v>77.5</v>
      </c>
      <c r="E90" s="63">
        <f>IF(MapWeight!D91&lt;&gt;0, SUM(E91:E93)/MapWeight!D91, "")</f>
        <v>72.5</v>
      </c>
      <c r="F90" s="62">
        <f>IF(MapWeight!E91&lt;&gt;0, SUM(F91:F93)/MapWeight!E91, "")</f>
        <v>73.33333333</v>
      </c>
      <c r="G90" s="63">
        <f>IF(MapWeight!F91&lt;&gt;0, SUM(G91:G93)/MapWeight!F91, "")</f>
        <v>77.5</v>
      </c>
      <c r="H90" s="63">
        <f>IF(MapWeight!G91&lt;&gt;0, SUM(H91:H93)/MapWeight!G91, "")</f>
        <v>72.5</v>
      </c>
      <c r="I90" s="62">
        <f>IF(MapWeight!H91&lt;&gt;0, SUM(I91:I93)/MapWeight!H91, "")</f>
        <v>73.33333333</v>
      </c>
      <c r="J90" s="63" t="str">
        <f>IF(MapWeight!I91&lt;&gt;0, SUM(J91:J93)/MapWeight!I91, "")</f>
        <v/>
      </c>
      <c r="K90" s="63" t="str">
        <f>IF(MapWeight!J91&lt;&gt;0, SUM(K91:K93)/MapWeight!J91, "")</f>
        <v/>
      </c>
      <c r="L90" s="62" t="str">
        <f>IF(MapWeight!K91&lt;&gt;0, SUM(L91:L93)/MapWeight!K91, "")</f>
        <v/>
      </c>
      <c r="M90" s="63" t="str">
        <f>IF(MapWeight!L91&lt;&gt;0, SUM(M91:M93)/MapWeight!L91, "")</f>
        <v/>
      </c>
      <c r="N90" s="63" t="str">
        <f>IF(MapWeight!M91&lt;&gt;0, SUM(N91:N93)/MapWeight!M91, "")</f>
        <v/>
      </c>
      <c r="O90" s="64">
        <f>AVERAGE(D90:N90)</f>
        <v>74.44444444</v>
      </c>
    </row>
    <row r="91">
      <c r="A91" s="65"/>
      <c r="B91" s="24" t="s">
        <v>55</v>
      </c>
      <c r="C91" s="66">
        <f>CLO_Attainments!BN50</f>
        <v>67.5</v>
      </c>
      <c r="D91" s="68">
        <f>IF(MapWeight!C92&lt;&gt;"", $C$20*MapWeight!C92, "")</f>
        <v>155</v>
      </c>
      <c r="E91" s="68" t="str">
        <f>IF(MapWeight!D92&lt;&gt;"", $C$20*MapWeight!D92, "")</f>
        <v/>
      </c>
      <c r="F91" s="67" t="str">
        <f>IF(MapWeight!E92&lt;&gt;"", $C$20*MapWeight!E92, "")</f>
        <v/>
      </c>
      <c r="G91" s="68">
        <f>IF(MapWeight!F92&lt;&gt;"", $C$20*MapWeight!F92, "")</f>
        <v>155</v>
      </c>
      <c r="H91" s="68" t="str">
        <f>IF(MapWeight!G92&lt;&gt;"", $C$20*MapWeight!G92, "")</f>
        <v/>
      </c>
      <c r="I91" s="68" t="str">
        <f>IF(MapWeight!H92&lt;&gt;"", $C$20*MapWeight!H92, "")</f>
        <v/>
      </c>
      <c r="J91" s="68" t="str">
        <f>IF(MapWeight!I92&lt;&gt;"", $C$20*MapWeight!I92, "")</f>
        <v/>
      </c>
      <c r="K91" s="68" t="str">
        <f>IF(MapWeight!J92&lt;&gt;"", $C$20*MapWeight!J92, "")</f>
        <v/>
      </c>
      <c r="L91" s="68" t="str">
        <f>IF(MapWeight!K92&lt;&gt;"", $C$20*MapWeight!K92, "")</f>
        <v/>
      </c>
      <c r="M91" s="68" t="str">
        <f>IF(MapWeight!L92&lt;&gt;"", $C$20*MapWeight!L92, "")</f>
        <v/>
      </c>
      <c r="N91" s="68" t="str">
        <f>IF(MapWeight!M92&lt;&gt;"", $C$20*MapWeight!M92, "")</f>
        <v/>
      </c>
    </row>
    <row r="92">
      <c r="A92" s="65"/>
      <c r="B92" s="2" t="s">
        <v>61</v>
      </c>
      <c r="C92" s="70">
        <f>CLO_Attainments!BO50</f>
        <v>65</v>
      </c>
      <c r="D92" s="71" t="str">
        <f>IF(MapWeight!C93&lt;&gt;"", $C$21*MapWeight!C93, "")</f>
        <v/>
      </c>
      <c r="E92" s="71">
        <f>IF(MapWeight!D93&lt;&gt;"", $C$21*MapWeight!D93, "")</f>
        <v>145</v>
      </c>
      <c r="F92" s="71" t="str">
        <f>IF(MapWeight!E93&lt;&gt;"", $C$21*MapWeight!E93, "")</f>
        <v/>
      </c>
      <c r="G92" s="71" t="str">
        <f>IF(MapWeight!F93&lt;&gt;"", $C$21*MapWeight!F93, "")</f>
        <v/>
      </c>
      <c r="H92" s="71">
        <f>IF(MapWeight!G93&lt;&gt;"", $C$21*MapWeight!G93, "")</f>
        <v>145</v>
      </c>
      <c r="I92" s="72" t="str">
        <f>IF(MapWeight!H93&lt;&gt;"", $C$21*MapWeight!H93, "")</f>
        <v/>
      </c>
      <c r="J92" s="71" t="str">
        <f>IF(MapWeight!I93&lt;&gt;"", $C$21*MapWeight!I93, "")</f>
        <v/>
      </c>
      <c r="K92" s="71" t="str">
        <f>IF(MapWeight!J93&lt;&gt;"", $C$21*MapWeight!J93, "")</f>
        <v/>
      </c>
      <c r="L92" s="71" t="str">
        <f>IF(MapWeight!K93&lt;&gt;"", $C$21*MapWeight!K93, "")</f>
        <v/>
      </c>
      <c r="M92" s="71" t="str">
        <f>IF(MapWeight!L93&lt;&gt;"", $C$21*MapWeight!L93, "")</f>
        <v/>
      </c>
      <c r="N92" s="71" t="str">
        <f>IF(MapWeight!M93&lt;&gt;"", $C$21*MapWeight!M93, "")</f>
        <v/>
      </c>
    </row>
    <row r="93">
      <c r="A93" s="73"/>
      <c r="B93" s="33" t="s">
        <v>65</v>
      </c>
      <c r="C93" s="74">
        <f>CLO_Attainments!BP50</f>
        <v>57.5</v>
      </c>
      <c r="D93" s="75" t="str">
        <f>IF(MapWeight!C94&lt;&gt;"", $C$22*MapWeight!C94, "")</f>
        <v/>
      </c>
      <c r="E93" s="75" t="str">
        <f>IF(MapWeight!D94&lt;&gt;"", $C$22*MapWeight!D94, "")</f>
        <v/>
      </c>
      <c r="F93" s="75">
        <f>IF(MapWeight!E94&lt;&gt;"", $C$22*MapWeight!E94, "")</f>
        <v>220</v>
      </c>
      <c r="G93" s="75" t="str">
        <f>IF(MapWeight!F94&lt;&gt;"", $C$22*MapWeight!F94, "")</f>
        <v/>
      </c>
      <c r="H93" s="75" t="str">
        <f>IF(MapWeight!G94&lt;&gt;"", $C$22*MapWeight!G94, "")</f>
        <v/>
      </c>
      <c r="I93" s="75">
        <f>IF(MapWeight!H94&lt;&gt;"", $C$22*MapWeight!H94, "")</f>
        <v>220</v>
      </c>
      <c r="J93" s="75" t="str">
        <f>IF(MapWeight!I94&lt;&gt;"", $C$22*MapWeight!I94, "")</f>
        <v/>
      </c>
      <c r="K93" s="75" t="str">
        <f>IF(MapWeight!J94&lt;&gt;"", $C$22*MapWeight!J94, "")</f>
        <v/>
      </c>
      <c r="L93" s="76" t="str">
        <f>IF(MapWeight!K94&lt;&gt;"", $C$22*MapWeight!K94, "")</f>
        <v/>
      </c>
      <c r="M93" s="75" t="str">
        <f>IF(MapWeight!L94&lt;&gt;"", $C$22*MapWeight!L94, "")</f>
        <v/>
      </c>
      <c r="N93" s="75" t="str">
        <f>IF(MapWeight!M94&lt;&gt;"", $C$22*MapWeight!M94, "")</f>
        <v/>
      </c>
    </row>
    <row r="94">
      <c r="A94" s="60" t="s">
        <v>52</v>
      </c>
      <c r="B94" s="39"/>
      <c r="C94" s="61">
        <f>AVERAGE(C95:C97)</f>
        <v>75</v>
      </c>
      <c r="D94" s="63">
        <f>IF(MapWeight!C95&lt;&gt;0, SUM(D95:D97)/MapWeight!C95, "")</f>
        <v>77.5</v>
      </c>
      <c r="E94" s="63">
        <f>IF(MapWeight!D95&lt;&gt;0, SUM(E95:E97)/MapWeight!D95, "")</f>
        <v>72.5</v>
      </c>
      <c r="F94" s="62">
        <f>IF(MapWeight!E95&lt;&gt;0, SUM(F95:F97)/MapWeight!E95, "")</f>
        <v>73.33333333</v>
      </c>
      <c r="G94" s="63">
        <f>IF(MapWeight!F95&lt;&gt;0, SUM(G95:G97)/MapWeight!F95, "")</f>
        <v>77.5</v>
      </c>
      <c r="H94" s="63">
        <f>IF(MapWeight!G95&lt;&gt;0, SUM(H95:H97)/MapWeight!G95, "")</f>
        <v>72.5</v>
      </c>
      <c r="I94" s="62">
        <f>IF(MapWeight!H95&lt;&gt;0, SUM(I95:I97)/MapWeight!H95, "")</f>
        <v>73.33333333</v>
      </c>
      <c r="J94" s="63" t="str">
        <f>IF(MapWeight!I95&lt;&gt;0, SUM(J95:J97)/MapWeight!I95, "")</f>
        <v/>
      </c>
      <c r="K94" s="63" t="str">
        <f>IF(MapWeight!J95&lt;&gt;0, SUM(K95:K97)/MapWeight!J95, "")</f>
        <v/>
      </c>
      <c r="L94" s="62" t="str">
        <f>IF(MapWeight!K95&lt;&gt;0, SUM(L95:L97)/MapWeight!K95, "")</f>
        <v/>
      </c>
      <c r="M94" s="63" t="str">
        <f>IF(MapWeight!L95&lt;&gt;0, SUM(M95:M97)/MapWeight!L95, "")</f>
        <v/>
      </c>
      <c r="N94" s="63" t="str">
        <f>IF(MapWeight!M95&lt;&gt;0, SUM(N95:N97)/MapWeight!M95, "")</f>
        <v/>
      </c>
      <c r="O94" s="64">
        <f>AVERAGE(D94:N94)</f>
        <v>74.44444444</v>
      </c>
    </row>
    <row r="95">
      <c r="A95" s="65"/>
      <c r="B95" s="24" t="s">
        <v>55</v>
      </c>
      <c r="C95" s="66">
        <f>CLO_Attainments!BQ50</f>
        <v>75</v>
      </c>
      <c r="D95" s="68">
        <f>IF(MapWeight!C96&lt;&gt;"", $C$20*MapWeight!C96, "")</f>
        <v>155</v>
      </c>
      <c r="E95" s="68" t="str">
        <f>IF(MapWeight!D96&lt;&gt;"", $C$20*MapWeight!D96, "")</f>
        <v/>
      </c>
      <c r="F95" s="67" t="str">
        <f>IF(MapWeight!E96&lt;&gt;"", $C$20*MapWeight!E96, "")</f>
        <v/>
      </c>
      <c r="G95" s="68">
        <f>IF(MapWeight!F96&lt;&gt;"", $C$20*MapWeight!F96, "")</f>
        <v>155</v>
      </c>
      <c r="H95" s="68" t="str">
        <f>IF(MapWeight!G96&lt;&gt;"", $C$20*MapWeight!G96, "")</f>
        <v/>
      </c>
      <c r="I95" s="68" t="str">
        <f>IF(MapWeight!H96&lt;&gt;"", $C$20*MapWeight!H96, "")</f>
        <v/>
      </c>
      <c r="J95" s="68" t="str">
        <f>IF(MapWeight!I96&lt;&gt;"", $C$20*MapWeight!I96, "")</f>
        <v/>
      </c>
      <c r="K95" s="68" t="str">
        <f>IF(MapWeight!J96&lt;&gt;"", $C$20*MapWeight!J96, "")</f>
        <v/>
      </c>
      <c r="L95" s="68" t="str">
        <f>IF(MapWeight!K96&lt;&gt;"", $C$20*MapWeight!K96, "")</f>
        <v/>
      </c>
      <c r="M95" s="68" t="str">
        <f>IF(MapWeight!L96&lt;&gt;"", $C$20*MapWeight!L96, "")</f>
        <v/>
      </c>
      <c r="N95" s="68" t="str">
        <f>IF(MapWeight!M96&lt;&gt;"", $C$20*MapWeight!M96, "")</f>
        <v/>
      </c>
    </row>
    <row r="96">
      <c r="A96" s="65"/>
      <c r="B96" s="2" t="s">
        <v>61</v>
      </c>
      <c r="C96" s="70">
        <f>CLO_Attainments!BR50</f>
        <v>75</v>
      </c>
      <c r="D96" s="71" t="str">
        <f>IF(MapWeight!C97&lt;&gt;"", $C$21*MapWeight!C97, "")</f>
        <v/>
      </c>
      <c r="E96" s="71">
        <f>IF(MapWeight!D97&lt;&gt;"", $C$21*MapWeight!D97, "")</f>
        <v>145</v>
      </c>
      <c r="F96" s="71" t="str">
        <f>IF(MapWeight!E97&lt;&gt;"", $C$21*MapWeight!E97, "")</f>
        <v/>
      </c>
      <c r="G96" s="71" t="str">
        <f>IF(MapWeight!F97&lt;&gt;"", $C$21*MapWeight!F97, "")</f>
        <v/>
      </c>
      <c r="H96" s="71">
        <f>IF(MapWeight!G97&lt;&gt;"", $C$21*MapWeight!G97, "")</f>
        <v>145</v>
      </c>
      <c r="I96" s="72" t="str">
        <f>IF(MapWeight!H97&lt;&gt;"", $C$21*MapWeight!H97, "")</f>
        <v/>
      </c>
      <c r="J96" s="71" t="str">
        <f>IF(MapWeight!I97&lt;&gt;"", $C$21*MapWeight!I97, "")</f>
        <v/>
      </c>
      <c r="K96" s="71" t="str">
        <f>IF(MapWeight!J97&lt;&gt;"", $C$21*MapWeight!J97, "")</f>
        <v/>
      </c>
      <c r="L96" s="71" t="str">
        <f>IF(MapWeight!K97&lt;&gt;"", $C$21*MapWeight!K97, "")</f>
        <v/>
      </c>
      <c r="M96" s="71" t="str">
        <f>IF(MapWeight!L97&lt;&gt;"", $C$21*MapWeight!L97, "")</f>
        <v/>
      </c>
      <c r="N96" s="71" t="str">
        <f>IF(MapWeight!M97&lt;&gt;"", $C$21*MapWeight!M97, "")</f>
        <v/>
      </c>
    </row>
    <row r="97">
      <c r="A97" s="73"/>
      <c r="B97" s="33" t="s">
        <v>65</v>
      </c>
      <c r="C97" s="74">
        <f>CLO_Attainments!BS50</f>
        <v>75</v>
      </c>
      <c r="D97" s="75" t="str">
        <f>IF(MapWeight!C98&lt;&gt;"", $C$22*MapWeight!C98, "")</f>
        <v/>
      </c>
      <c r="E97" s="75" t="str">
        <f>IF(MapWeight!D98&lt;&gt;"", $C$22*MapWeight!D98, "")</f>
        <v/>
      </c>
      <c r="F97" s="75">
        <f>IF(MapWeight!E98&lt;&gt;"", $C$22*MapWeight!E98, "")</f>
        <v>220</v>
      </c>
      <c r="G97" s="75" t="str">
        <f>IF(MapWeight!F98&lt;&gt;"", $C$22*MapWeight!F98, "")</f>
        <v/>
      </c>
      <c r="H97" s="75" t="str">
        <f>IF(MapWeight!G98&lt;&gt;"", $C$22*MapWeight!G98, "")</f>
        <v/>
      </c>
      <c r="I97" s="75">
        <f>IF(MapWeight!H98&lt;&gt;"", $C$22*MapWeight!H98, "")</f>
        <v>220</v>
      </c>
      <c r="J97" s="75" t="str">
        <f>IF(MapWeight!I98&lt;&gt;"", $C$22*MapWeight!I98, "")</f>
        <v/>
      </c>
      <c r="K97" s="75" t="str">
        <f>IF(MapWeight!J98&lt;&gt;"", $C$22*MapWeight!J98, "")</f>
        <v/>
      </c>
      <c r="L97" s="76" t="str">
        <f>IF(MapWeight!K98&lt;&gt;"", $C$22*MapWeight!K98, "")</f>
        <v/>
      </c>
      <c r="M97" s="75" t="str">
        <f>IF(MapWeight!L98&lt;&gt;"", $C$22*MapWeight!L98, "")</f>
        <v/>
      </c>
      <c r="N97" s="75" t="str">
        <f>IF(MapWeight!M98&lt;&gt;"", $C$22*MapWeight!M98, "")</f>
        <v/>
      </c>
    </row>
    <row r="98">
      <c r="A98" s="60" t="s">
        <v>54</v>
      </c>
      <c r="B98" s="39"/>
      <c r="C98" s="61">
        <f>AVERAGE(C99:C101)</f>
        <v>75</v>
      </c>
      <c r="D98" s="63">
        <f>IF(MapWeight!C99&lt;&gt;0, SUM(D99:D101)/MapWeight!C99, "")</f>
        <v>77.5</v>
      </c>
      <c r="E98" s="63">
        <f>IF(MapWeight!D99&lt;&gt;0, SUM(E99:E101)/MapWeight!D99, "")</f>
        <v>72.5</v>
      </c>
      <c r="F98" s="62">
        <f>IF(MapWeight!E99&lt;&gt;0, SUM(F99:F101)/MapWeight!E99, "")</f>
        <v>75.41666667</v>
      </c>
      <c r="G98" s="63">
        <f>IF(MapWeight!F99&lt;&gt;0, SUM(G99:G101)/MapWeight!F99, "")</f>
        <v>77.5</v>
      </c>
      <c r="H98" s="63">
        <f>IF(MapWeight!G99&lt;&gt;0, SUM(H99:H101)/MapWeight!G99, "")</f>
        <v>72.5</v>
      </c>
      <c r="I98" s="62">
        <f>IF(MapWeight!H99&lt;&gt;0, SUM(I99:I101)/MapWeight!H99, "")</f>
        <v>73.33333333</v>
      </c>
      <c r="J98" s="63" t="str">
        <f>IF(MapWeight!I99&lt;&gt;0, SUM(J99:J101)/MapWeight!I99, "")</f>
        <v/>
      </c>
      <c r="K98" s="63" t="str">
        <f>IF(MapWeight!J99&lt;&gt;0, SUM(K99:K101)/MapWeight!J99, "")</f>
        <v/>
      </c>
      <c r="L98" s="62" t="str">
        <f>IF(MapWeight!K99&lt;&gt;0, SUM(L99:L101)/MapWeight!K99, "")</f>
        <v/>
      </c>
      <c r="M98" s="63" t="str">
        <f>IF(MapWeight!L99&lt;&gt;0, SUM(M99:M101)/MapWeight!L99, "")</f>
        <v/>
      </c>
      <c r="N98" s="63" t="str">
        <f>IF(MapWeight!M99&lt;&gt;0, SUM(N99:N101)/MapWeight!M99, "")</f>
        <v/>
      </c>
      <c r="O98" s="64">
        <f>AVERAGE(D98:N98)</f>
        <v>74.79166667</v>
      </c>
    </row>
    <row r="99">
      <c r="A99" s="65"/>
      <c r="B99" s="24" t="s">
        <v>55</v>
      </c>
      <c r="C99" s="66">
        <f>CLO_Attainments!BT50</f>
        <v>70</v>
      </c>
      <c r="D99" s="68">
        <f>IF(MapWeight!C100&lt;&gt;"", $C$20*MapWeight!C100, "")</f>
        <v>155</v>
      </c>
      <c r="E99" s="68" t="str">
        <f>IF(MapWeight!D100&lt;&gt;"", $C$20*MapWeight!D100, "")</f>
        <v/>
      </c>
      <c r="F99" s="67">
        <f>IF(MapWeight!E100&lt;&gt;"", $C$20*MapWeight!E100, "")</f>
        <v>232.5</v>
      </c>
      <c r="G99" s="68">
        <f>IF(MapWeight!F100&lt;&gt;"", $C$20*MapWeight!F100, "")</f>
        <v>155</v>
      </c>
      <c r="H99" s="68" t="str">
        <f>IF(MapWeight!G100&lt;&gt;"", $C$20*MapWeight!G100, "")</f>
        <v/>
      </c>
      <c r="I99" s="68" t="str">
        <f>IF(MapWeight!H100&lt;&gt;"", $C$20*MapWeight!H100, "")</f>
        <v/>
      </c>
      <c r="J99" s="68" t="str">
        <f>IF(MapWeight!I100&lt;&gt;"", $C$20*MapWeight!I100, "")</f>
        <v/>
      </c>
      <c r="K99" s="68" t="str">
        <f>IF(MapWeight!J100&lt;&gt;"", $C$20*MapWeight!J100, "")</f>
        <v/>
      </c>
      <c r="L99" s="68" t="str">
        <f>IF(MapWeight!K100&lt;&gt;"", $C$20*MapWeight!K100, "")</f>
        <v/>
      </c>
      <c r="M99" s="68" t="str">
        <f>IF(MapWeight!L100&lt;&gt;"", $C$20*MapWeight!L100, "")</f>
        <v/>
      </c>
      <c r="N99" s="68" t="str">
        <f>IF(MapWeight!M100&lt;&gt;"", $C$20*MapWeight!M100, "")</f>
        <v/>
      </c>
    </row>
    <row r="100">
      <c r="A100" s="65"/>
      <c r="B100" s="2" t="s">
        <v>61</v>
      </c>
      <c r="C100" s="70">
        <f>CLO_Attainments!BU50</f>
        <v>80</v>
      </c>
      <c r="D100" s="71" t="str">
        <f>IF(MapWeight!C101&lt;&gt;"", $C$21*MapWeight!C101, "")</f>
        <v/>
      </c>
      <c r="E100" s="71">
        <f>IF(MapWeight!D101&lt;&gt;"", $C$21*MapWeight!D101, "")</f>
        <v>145</v>
      </c>
      <c r="F100" s="71" t="str">
        <f>IF(MapWeight!E101&lt;&gt;"", $C$21*MapWeight!E101, "")</f>
        <v/>
      </c>
      <c r="G100" s="71" t="str">
        <f>IF(MapWeight!F101&lt;&gt;"", $C$21*MapWeight!F101, "")</f>
        <v/>
      </c>
      <c r="H100" s="71">
        <f>IF(MapWeight!G101&lt;&gt;"", $C$21*MapWeight!G101, "")</f>
        <v>145</v>
      </c>
      <c r="I100" s="72" t="str">
        <f>IF(MapWeight!H101&lt;&gt;"", $C$21*MapWeight!H101, "")</f>
        <v/>
      </c>
      <c r="J100" s="71" t="str">
        <f>IF(MapWeight!I101&lt;&gt;"", $C$21*MapWeight!I101, "")</f>
        <v/>
      </c>
      <c r="K100" s="71" t="str">
        <f>IF(MapWeight!J101&lt;&gt;"", $C$21*MapWeight!J101, "")</f>
        <v/>
      </c>
      <c r="L100" s="71" t="str">
        <f>IF(MapWeight!K101&lt;&gt;"", $C$21*MapWeight!K101, "")</f>
        <v/>
      </c>
      <c r="M100" s="71" t="str">
        <f>IF(MapWeight!L101&lt;&gt;"", $C$21*MapWeight!L101, "")</f>
        <v/>
      </c>
      <c r="N100" s="71" t="str">
        <f>IF(MapWeight!M101&lt;&gt;"", $C$21*MapWeight!M101, "")</f>
        <v/>
      </c>
    </row>
    <row r="101">
      <c r="A101" s="73"/>
      <c r="B101" s="33" t="s">
        <v>65</v>
      </c>
      <c r="C101" s="74">
        <f>CLO_Attainments!BV50</f>
        <v>75</v>
      </c>
      <c r="D101" s="75" t="str">
        <f>IF(MapWeight!C102&lt;&gt;"", $C$22*MapWeight!C102, "")</f>
        <v/>
      </c>
      <c r="E101" s="75" t="str">
        <f>IF(MapWeight!D102&lt;&gt;"", $C$22*MapWeight!D102, "")</f>
        <v/>
      </c>
      <c r="F101" s="75">
        <f>IF(MapWeight!E102&lt;&gt;"", $C$22*MapWeight!E102, "")</f>
        <v>220</v>
      </c>
      <c r="G101" s="75" t="str">
        <f>IF(MapWeight!F102&lt;&gt;"", $C$22*MapWeight!F102, "")</f>
        <v/>
      </c>
      <c r="H101" s="75" t="str">
        <f>IF(MapWeight!G102&lt;&gt;"", $C$22*MapWeight!G102, "")</f>
        <v/>
      </c>
      <c r="I101" s="75">
        <f>IF(MapWeight!H102&lt;&gt;"", $C$22*MapWeight!H102, "")</f>
        <v>220</v>
      </c>
      <c r="J101" s="75" t="str">
        <f>IF(MapWeight!I102&lt;&gt;"", $C$22*MapWeight!I102, "")</f>
        <v/>
      </c>
      <c r="K101" s="75" t="str">
        <f>IF(MapWeight!J102&lt;&gt;"", $C$22*MapWeight!J102, "")</f>
        <v/>
      </c>
      <c r="L101" s="76" t="str">
        <f>IF(MapWeight!K102&lt;&gt;"", $C$22*MapWeight!K102, "")</f>
        <v/>
      </c>
      <c r="M101" s="75" t="str">
        <f>IF(MapWeight!L102&lt;&gt;"", $C$22*MapWeight!L102, "")</f>
        <v/>
      </c>
      <c r="N101" s="75" t="str">
        <f>IF(MapWeight!M102&lt;&gt;"", $C$22*MapWeight!M102, "")</f>
        <v/>
      </c>
    </row>
    <row r="102">
      <c r="A102" s="60" t="s">
        <v>56</v>
      </c>
      <c r="B102" s="39"/>
      <c r="C102" s="61">
        <f>AVERAGE(C103:C105)</f>
        <v>75</v>
      </c>
      <c r="D102" s="63" t="str">
        <f>IF(MapWeight!C103&lt;&gt;0, SUM(D103:D105)/MapWeight!C103, "")</f>
        <v/>
      </c>
      <c r="E102" s="63" t="str">
        <f>IF(MapWeight!D103&lt;&gt;0, SUM(E103:E105)/MapWeight!D103, "")</f>
        <v/>
      </c>
      <c r="F102" s="63" t="str">
        <f>IF(MapWeight!E103&lt;&gt;0, SUM(F103:F105)/MapWeight!E103, "")</f>
        <v/>
      </c>
      <c r="G102" s="63" t="str">
        <f>IF(MapWeight!F103&lt;&gt;0, SUM(G103:G105)/MapWeight!F103, "")</f>
        <v/>
      </c>
      <c r="H102" s="63" t="str">
        <f>IF(MapWeight!G103&lt;&gt;0, SUM(H103:H105)/MapWeight!G103, "")</f>
        <v/>
      </c>
      <c r="I102" s="63" t="str">
        <f>IF(MapWeight!H103&lt;&gt;0, SUM(I103:I105)/MapWeight!H103, "")</f>
        <v/>
      </c>
      <c r="J102" s="63">
        <f>IF(MapWeight!I103&lt;&gt;0, SUM(J103:J105)/MapWeight!I103, "")</f>
        <v>73.33333333</v>
      </c>
      <c r="K102" s="63">
        <f>IF(MapWeight!J103&lt;&gt;0, SUM(K103:K105)/MapWeight!J103, "")</f>
        <v>77.5</v>
      </c>
      <c r="L102" s="63">
        <f>IF(MapWeight!K103&lt;&gt;0, SUM(L103:L105)/MapWeight!K103, "")</f>
        <v>72.5</v>
      </c>
      <c r="M102" s="63">
        <f>IF(MapWeight!L103&lt;&gt;0, SUM(M103:M105)/MapWeight!L103, "")</f>
        <v>73.33333333</v>
      </c>
      <c r="N102" s="63">
        <f>IF(MapWeight!M103&lt;&gt;0, SUM(N103:N105)/MapWeight!M103, "")</f>
        <v>73.33333333</v>
      </c>
      <c r="O102" s="64">
        <f>AVERAGE(D102:N102)</f>
        <v>74</v>
      </c>
    </row>
    <row r="103">
      <c r="A103" s="65"/>
      <c r="B103" s="24" t="s">
        <v>55</v>
      </c>
      <c r="C103" s="66">
        <f>CLO_Attainments!BW50</f>
        <v>70</v>
      </c>
      <c r="D103" s="68" t="str">
        <f>IF(MapWeight!C104&lt;&gt;"", $C$20*MapWeight!C104, "")</f>
        <v/>
      </c>
      <c r="E103" s="68" t="str">
        <f>IF(MapWeight!D104&lt;&gt;"", $C$20*MapWeight!D104, "")</f>
        <v/>
      </c>
      <c r="F103" s="68" t="str">
        <f>IF(MapWeight!E104&lt;&gt;"", $C$20*MapWeight!E104, "")</f>
        <v/>
      </c>
      <c r="G103" s="68" t="str">
        <f>IF(MapWeight!F104&lt;&gt;"", $C$20*MapWeight!F104, "")</f>
        <v/>
      </c>
      <c r="H103" s="68" t="str">
        <f>IF(MapWeight!G104&lt;&gt;"", $C$20*MapWeight!G104, "")</f>
        <v/>
      </c>
      <c r="I103" s="68" t="str">
        <f>IF(MapWeight!H104&lt;&gt;"", $C$20*MapWeight!H104, "")</f>
        <v/>
      </c>
      <c r="J103" s="68" t="str">
        <f>IF(MapWeight!I104&lt;&gt;"", $C$20*MapWeight!I104, "")</f>
        <v/>
      </c>
      <c r="K103" s="68">
        <f>IF(MapWeight!J104&lt;&gt;"", $C$20*MapWeight!J104, "")</f>
        <v>232.5</v>
      </c>
      <c r="L103" s="68" t="str">
        <f>IF(MapWeight!K104&lt;&gt;"", $C$20*MapWeight!K104, "")</f>
        <v/>
      </c>
      <c r="M103" s="68" t="str">
        <f>IF(MapWeight!L104&lt;&gt;"", $C$20*MapWeight!L104, "")</f>
        <v/>
      </c>
      <c r="N103" s="68" t="str">
        <f>IF(MapWeight!M104&lt;&gt;"", $C$20*MapWeight!M104, "")</f>
        <v/>
      </c>
    </row>
    <row r="104">
      <c r="A104" s="65"/>
      <c r="B104" s="2" t="s">
        <v>61</v>
      </c>
      <c r="C104" s="70">
        <f>CLO_Attainments!BX50</f>
        <v>75</v>
      </c>
      <c r="D104" s="71" t="str">
        <f>IF(MapWeight!C105&lt;&gt;"", $C$21*MapWeight!C105, "")</f>
        <v/>
      </c>
      <c r="E104" s="71" t="str">
        <f>IF(MapWeight!D105&lt;&gt;"", $C$21*MapWeight!D105, "")</f>
        <v/>
      </c>
      <c r="F104" s="71" t="str">
        <f>IF(MapWeight!E105&lt;&gt;"", $C$21*MapWeight!E105, "")</f>
        <v/>
      </c>
      <c r="G104" s="71" t="str">
        <f>IF(MapWeight!F105&lt;&gt;"", $C$21*MapWeight!F105, "")</f>
        <v/>
      </c>
      <c r="H104" s="71" t="str">
        <f>IF(MapWeight!G105&lt;&gt;"", $C$21*MapWeight!G105, "")</f>
        <v/>
      </c>
      <c r="I104" s="71" t="str">
        <f>IF(MapWeight!H105&lt;&gt;"", $C$21*MapWeight!H105, "")</f>
        <v/>
      </c>
      <c r="J104" s="71" t="str">
        <f>IF(MapWeight!I105&lt;&gt;"", $C$21*MapWeight!I105, "")</f>
        <v/>
      </c>
      <c r="K104" s="71" t="str">
        <f>IF(MapWeight!J105&lt;&gt;"", $C$21*MapWeight!J105, "")</f>
        <v/>
      </c>
      <c r="L104" s="71">
        <f>IF(MapWeight!K105&lt;&gt;"", $C$21*MapWeight!K105, "")</f>
        <v>217.5</v>
      </c>
      <c r="M104" s="71" t="str">
        <f>IF(MapWeight!L105&lt;&gt;"", $C$21*MapWeight!L105, "")</f>
        <v/>
      </c>
      <c r="N104" s="71" t="str">
        <f>IF(MapWeight!M105&lt;&gt;"", $C$21*MapWeight!M105, "")</f>
        <v/>
      </c>
    </row>
    <row r="105">
      <c r="A105" s="73"/>
      <c r="B105" s="33" t="s">
        <v>65</v>
      </c>
      <c r="C105" s="74">
        <f>CLO_Attainments!BY50</f>
        <v>80</v>
      </c>
      <c r="D105" s="75" t="str">
        <f>IF(MapWeight!C106&lt;&gt;"", $C$22*MapWeight!C106, "")</f>
        <v/>
      </c>
      <c r="E105" s="75" t="str">
        <f>IF(MapWeight!D106&lt;&gt;"", $C$22*MapWeight!D106, "")</f>
        <v/>
      </c>
      <c r="F105" s="75" t="str">
        <f>IF(MapWeight!E106&lt;&gt;"", $C$22*MapWeight!E106, "")</f>
        <v/>
      </c>
      <c r="G105" s="75" t="str">
        <f>IF(MapWeight!F106&lt;&gt;"", $C$22*MapWeight!F106, "")</f>
        <v/>
      </c>
      <c r="H105" s="75" t="str">
        <f>IF(MapWeight!G106&lt;&gt;"", $C$22*MapWeight!G106, "")</f>
        <v/>
      </c>
      <c r="I105" s="75" t="str">
        <f>IF(MapWeight!H106&lt;&gt;"", $C$22*MapWeight!H106, "")</f>
        <v/>
      </c>
      <c r="J105" s="75">
        <f>IF(MapWeight!I106&lt;&gt;"", $C$22*MapWeight!I106, "")</f>
        <v>220</v>
      </c>
      <c r="K105" s="75" t="str">
        <f>IF(MapWeight!J106&lt;&gt;"", $C$22*MapWeight!J106, "")</f>
        <v/>
      </c>
      <c r="L105" s="75" t="str">
        <f>IF(MapWeight!K106&lt;&gt;"", $C$22*MapWeight!K106, "")</f>
        <v/>
      </c>
      <c r="M105" s="75">
        <f>IF(MapWeight!L106&lt;&gt;"", $C$22*MapWeight!L106, "")</f>
        <v>220</v>
      </c>
      <c r="N105" s="75">
        <f>IF(MapWeight!M106&lt;&gt;"", $C$22*MapWeight!M106, "")</f>
        <v>220</v>
      </c>
    </row>
    <row r="106">
      <c r="A106" s="60" t="s">
        <v>58</v>
      </c>
      <c r="B106" s="39"/>
      <c r="C106" s="61">
        <f>AVERAGE(C107:C109)</f>
        <v>80</v>
      </c>
      <c r="D106" s="77">
        <f>IF(MapWeight!C107&lt;&gt;0, SUM(D107:D109)/MapWeight!C107, "")</f>
        <v>74.44444444</v>
      </c>
      <c r="E106" s="77">
        <f>IF(MapWeight!D107&lt;&gt;0, SUM(E107:E109)/MapWeight!D107, "")</f>
        <v>74.44444444</v>
      </c>
      <c r="F106" s="62">
        <f>IF(MapWeight!E107&lt;&gt;0, SUM(F107:F109)/MapWeight!E107, "")</f>
        <v>74.44444444</v>
      </c>
      <c r="G106" s="77">
        <f>IF(MapWeight!F107&lt;&gt;0, SUM(G107:G109)/MapWeight!F107, "")</f>
        <v>74.44444444</v>
      </c>
      <c r="H106" s="77">
        <f>IF(MapWeight!G107&lt;&gt;0, SUM(H107:H109)/MapWeight!G107, "")</f>
        <v>74.44444444</v>
      </c>
      <c r="I106" s="62">
        <f>IF(MapWeight!H107&lt;&gt;0, SUM(I107:I109)/MapWeight!H107, "")</f>
        <v>74.44444444</v>
      </c>
      <c r="J106" s="77">
        <f>IF(MapWeight!I107&lt;&gt;0, SUM(J107:J109)/MapWeight!I107, "")</f>
        <v>74.44444444</v>
      </c>
      <c r="K106" s="77">
        <f>IF(MapWeight!J107&lt;&gt;0, SUM(K107:K109)/MapWeight!J107, "")</f>
        <v>74.44444444</v>
      </c>
      <c r="L106" s="62">
        <f>IF(MapWeight!K107&lt;&gt;0, SUM(L107:L109)/MapWeight!K107, "")</f>
        <v>74.44444444</v>
      </c>
      <c r="M106" s="77">
        <f>IF(MapWeight!L107&lt;&gt;0, SUM(M107:M109)/MapWeight!L107, "")</f>
        <v>74.44444444</v>
      </c>
      <c r="N106" s="77">
        <f>IF(MapWeight!M107&lt;&gt;0, SUM(N107:N109)/MapWeight!M107, "")</f>
        <v>74.44444444</v>
      </c>
      <c r="O106" s="64">
        <f>AVERAGE(D106:N106)</f>
        <v>74.44444444</v>
      </c>
    </row>
    <row r="107">
      <c r="A107" s="65"/>
      <c r="B107" s="24" t="s">
        <v>55</v>
      </c>
      <c r="C107" s="66">
        <f>CLO_Attainments!BZ50</f>
        <v>82.5</v>
      </c>
      <c r="D107" s="67">
        <f>IF(MapWeight!C108&lt;&gt;"", $C$20*MapWeight!C108, "")</f>
        <v>232.5</v>
      </c>
      <c r="E107" s="67">
        <f>IF(MapWeight!D108&lt;&gt;"", $C$20*MapWeight!D108, "")</f>
        <v>232.5</v>
      </c>
      <c r="F107" s="67">
        <f>IF(MapWeight!E108&lt;&gt;"", $C$20*MapWeight!E108, "")</f>
        <v>232.5</v>
      </c>
      <c r="G107" s="67">
        <f>IF(MapWeight!F108&lt;&gt;"", $C$20*MapWeight!F108, "")</f>
        <v>232.5</v>
      </c>
      <c r="H107" s="67">
        <f>IF(MapWeight!G108&lt;&gt;"", $C$20*MapWeight!G108, "")</f>
        <v>232.5</v>
      </c>
      <c r="I107" s="67">
        <f>IF(MapWeight!H108&lt;&gt;"", $C$20*MapWeight!H108, "")</f>
        <v>232.5</v>
      </c>
      <c r="J107" s="67">
        <f>IF(MapWeight!I108&lt;&gt;"", $C$20*MapWeight!I108, "")</f>
        <v>232.5</v>
      </c>
      <c r="K107" s="67">
        <f>IF(MapWeight!J108&lt;&gt;"", $C$20*MapWeight!J108, "")</f>
        <v>232.5</v>
      </c>
      <c r="L107" s="67">
        <f>IF(MapWeight!K108&lt;&gt;"", $C$20*MapWeight!K108, "")</f>
        <v>232.5</v>
      </c>
      <c r="M107" s="67">
        <f>IF(MapWeight!L108&lt;&gt;"", $C$20*MapWeight!L108, "")</f>
        <v>232.5</v>
      </c>
      <c r="N107" s="67">
        <f>IF(MapWeight!M108&lt;&gt;"", $C$20*MapWeight!M108, "")</f>
        <v>232.5</v>
      </c>
    </row>
    <row r="108">
      <c r="A108" s="65"/>
      <c r="B108" s="2" t="s">
        <v>61</v>
      </c>
      <c r="C108" s="70">
        <f>CLO_Attainments!CA50</f>
        <v>85</v>
      </c>
      <c r="D108" s="72">
        <f>IF(MapWeight!C109&lt;&gt;"", $C$21*MapWeight!C109, "")</f>
        <v>217.5</v>
      </c>
      <c r="E108" s="72">
        <f>IF(MapWeight!D109&lt;&gt;"", $C$21*MapWeight!D109, "")</f>
        <v>217.5</v>
      </c>
      <c r="F108" s="72">
        <f>IF(MapWeight!E109&lt;&gt;"", $C$21*MapWeight!E109, "")</f>
        <v>217.5</v>
      </c>
      <c r="G108" s="72">
        <f>IF(MapWeight!F109&lt;&gt;"", $C$21*MapWeight!F109, "")</f>
        <v>217.5</v>
      </c>
      <c r="H108" s="72">
        <f>IF(MapWeight!G109&lt;&gt;"", $C$21*MapWeight!G109, "")</f>
        <v>217.5</v>
      </c>
      <c r="I108" s="72">
        <f>IF(MapWeight!H109&lt;&gt;"", $C$21*MapWeight!H109, "")</f>
        <v>217.5</v>
      </c>
      <c r="J108" s="72">
        <f>IF(MapWeight!I109&lt;&gt;"", $C$21*MapWeight!I109, "")</f>
        <v>217.5</v>
      </c>
      <c r="K108" s="72">
        <f>IF(MapWeight!J109&lt;&gt;"", $C$21*MapWeight!J109, "")</f>
        <v>217.5</v>
      </c>
      <c r="L108" s="72">
        <f>IF(MapWeight!K109&lt;&gt;"", $C$21*MapWeight!K109, "")</f>
        <v>217.5</v>
      </c>
      <c r="M108" s="72">
        <f>IF(MapWeight!L109&lt;&gt;"", $C$21*MapWeight!L109, "")</f>
        <v>217.5</v>
      </c>
      <c r="N108" s="72">
        <f>IF(MapWeight!M109&lt;&gt;"", $C$21*MapWeight!M109, "")</f>
        <v>217.5</v>
      </c>
    </row>
    <row r="109">
      <c r="A109" s="73"/>
      <c r="B109" s="33" t="s">
        <v>65</v>
      </c>
      <c r="C109" s="74">
        <f>CLO_Attainments!CB50</f>
        <v>72.5</v>
      </c>
      <c r="D109" s="76">
        <f>IF(MapWeight!C110&lt;&gt;"", $C$22*MapWeight!C110, "")</f>
        <v>220</v>
      </c>
      <c r="E109" s="76">
        <f>IF(MapWeight!D110&lt;&gt;"", $C$22*MapWeight!D110, "")</f>
        <v>220</v>
      </c>
      <c r="F109" s="76">
        <f>IF(MapWeight!E110&lt;&gt;"", $C$22*MapWeight!E110, "")</f>
        <v>220</v>
      </c>
      <c r="G109" s="76">
        <f>IF(MapWeight!F110&lt;&gt;"", $C$22*MapWeight!F110, "")</f>
        <v>220</v>
      </c>
      <c r="H109" s="76">
        <f>IF(MapWeight!G110&lt;&gt;"", $C$22*MapWeight!G110, "")</f>
        <v>220</v>
      </c>
      <c r="I109" s="76">
        <f>IF(MapWeight!H110&lt;&gt;"", $C$22*MapWeight!H110, "")</f>
        <v>220</v>
      </c>
      <c r="J109" s="76">
        <f>IF(MapWeight!I110&lt;&gt;"", $C$22*MapWeight!I110, "")</f>
        <v>220</v>
      </c>
      <c r="K109" s="76">
        <f>IF(MapWeight!J110&lt;&gt;"", $C$22*MapWeight!J110, "")</f>
        <v>220</v>
      </c>
      <c r="L109" s="76">
        <f>IF(MapWeight!K110&lt;&gt;"", $C$22*MapWeight!K110, "")</f>
        <v>220</v>
      </c>
      <c r="M109" s="76">
        <f>IF(MapWeight!L110&lt;&gt;"", $C$22*MapWeight!L110, "")</f>
        <v>220</v>
      </c>
      <c r="N109" s="76">
        <f>IF(MapWeight!M110&lt;&gt;"", $C$22*MapWeight!M110, "")</f>
        <v>220</v>
      </c>
    </row>
    <row r="110">
      <c r="A110" s="60" t="s">
        <v>59</v>
      </c>
      <c r="B110" s="39"/>
      <c r="C110" s="61">
        <f>AVERAGE(C111:C113)</f>
        <v>78.33333333</v>
      </c>
      <c r="D110" s="77">
        <f>IF(MapWeight!C111&lt;&gt;0, SUM(D111:D113)/MapWeight!C111, "")</f>
        <v>74.44444444</v>
      </c>
      <c r="E110" s="77">
        <f>IF(MapWeight!D111&lt;&gt;0, SUM(E111:E113)/MapWeight!D111, "")</f>
        <v>74.44444444</v>
      </c>
      <c r="F110" s="62">
        <f>IF(MapWeight!E111&lt;&gt;0, SUM(F111:F113)/MapWeight!E111, "")</f>
        <v>74.44444444</v>
      </c>
      <c r="G110" s="77">
        <f>IF(MapWeight!F111&lt;&gt;0, SUM(G111:G113)/MapWeight!F111, "")</f>
        <v>74.44444444</v>
      </c>
      <c r="H110" s="77">
        <f>IF(MapWeight!G111&lt;&gt;0, SUM(H111:H113)/MapWeight!G111, "")</f>
        <v>74.44444444</v>
      </c>
      <c r="I110" s="62">
        <f>IF(MapWeight!H111&lt;&gt;0, SUM(I111:I113)/MapWeight!H111, "")</f>
        <v>74.44444444</v>
      </c>
      <c r="J110" s="77">
        <f>IF(MapWeight!I111&lt;&gt;0, SUM(J111:J113)/MapWeight!I111, "")</f>
        <v>74.44444444</v>
      </c>
      <c r="K110" s="77">
        <f>IF(MapWeight!J111&lt;&gt;0, SUM(K111:K113)/MapWeight!J111, "")</f>
        <v>74.44444444</v>
      </c>
      <c r="L110" s="62">
        <f>IF(MapWeight!K111&lt;&gt;0, SUM(L111:L113)/MapWeight!K111, "")</f>
        <v>74.44444444</v>
      </c>
      <c r="M110" s="77">
        <f>IF(MapWeight!L111&lt;&gt;0, SUM(M111:M113)/MapWeight!L111, "")</f>
        <v>74.44444444</v>
      </c>
      <c r="N110" s="77">
        <f>IF(MapWeight!M111&lt;&gt;0, SUM(N111:N113)/MapWeight!M111, "")</f>
        <v>74.44444444</v>
      </c>
      <c r="O110" s="64">
        <f>AVERAGE(D110:N110)</f>
        <v>74.44444444</v>
      </c>
    </row>
    <row r="111">
      <c r="A111" s="65"/>
      <c r="B111" s="24" t="s">
        <v>55</v>
      </c>
      <c r="C111" s="66">
        <f>CLO_Attainments!CC50</f>
        <v>80</v>
      </c>
      <c r="D111" s="67">
        <f>IF(MapWeight!C112&lt;&gt;"", $C$20*MapWeight!C112, "")</f>
        <v>155</v>
      </c>
      <c r="E111" s="67">
        <f>IF(MapWeight!D112&lt;&gt;"", $C$20*MapWeight!D112, "")</f>
        <v>155</v>
      </c>
      <c r="F111" s="67">
        <f>IF(MapWeight!E112&lt;&gt;"", $C$20*MapWeight!E112, "")</f>
        <v>155</v>
      </c>
      <c r="G111" s="67">
        <f>IF(MapWeight!F112&lt;&gt;"", $C$20*MapWeight!F112, "")</f>
        <v>155</v>
      </c>
      <c r="H111" s="67">
        <f>IF(MapWeight!G112&lt;&gt;"", $C$20*MapWeight!G112, "")</f>
        <v>155</v>
      </c>
      <c r="I111" s="67">
        <f>IF(MapWeight!H112&lt;&gt;"", $C$20*MapWeight!H112, "")</f>
        <v>155</v>
      </c>
      <c r="J111" s="67">
        <f>IF(MapWeight!I112&lt;&gt;"", $C$20*MapWeight!I112, "")</f>
        <v>155</v>
      </c>
      <c r="K111" s="67">
        <f>IF(MapWeight!J112&lt;&gt;"", $C$20*MapWeight!J112, "")</f>
        <v>155</v>
      </c>
      <c r="L111" s="67">
        <f>IF(MapWeight!K112&lt;&gt;"", $C$20*MapWeight!K112, "")</f>
        <v>155</v>
      </c>
      <c r="M111" s="67">
        <f>IF(MapWeight!L112&lt;&gt;"", $C$20*MapWeight!L112, "")</f>
        <v>155</v>
      </c>
      <c r="N111" s="67">
        <f>IF(MapWeight!M112&lt;&gt;"", $C$20*MapWeight!M112, "")</f>
        <v>155</v>
      </c>
    </row>
    <row r="112">
      <c r="A112" s="65"/>
      <c r="B112" s="2" t="s">
        <v>61</v>
      </c>
      <c r="C112" s="70">
        <f>CLO_Attainments!CD50</f>
        <v>77.5</v>
      </c>
      <c r="D112" s="72">
        <f>IF(MapWeight!C113&lt;&gt;"", $C$21*MapWeight!C113, "")</f>
        <v>145</v>
      </c>
      <c r="E112" s="72">
        <f>IF(MapWeight!D113&lt;&gt;"", $C$21*MapWeight!D113, "")</f>
        <v>145</v>
      </c>
      <c r="F112" s="72">
        <f>IF(MapWeight!E113&lt;&gt;"", $C$21*MapWeight!E113, "")</f>
        <v>145</v>
      </c>
      <c r="G112" s="72">
        <f>IF(MapWeight!F113&lt;&gt;"", $C$21*MapWeight!F113, "")</f>
        <v>145</v>
      </c>
      <c r="H112" s="72">
        <f>IF(MapWeight!G113&lt;&gt;"", $C$21*MapWeight!G113, "")</f>
        <v>145</v>
      </c>
      <c r="I112" s="72">
        <f>IF(MapWeight!H113&lt;&gt;"", $C$21*MapWeight!H113, "")</f>
        <v>145</v>
      </c>
      <c r="J112" s="72">
        <f>IF(MapWeight!I113&lt;&gt;"", $C$21*MapWeight!I113, "")</f>
        <v>145</v>
      </c>
      <c r="K112" s="72">
        <f>IF(MapWeight!J113&lt;&gt;"", $C$21*MapWeight!J113, "")</f>
        <v>145</v>
      </c>
      <c r="L112" s="72">
        <f>IF(MapWeight!K113&lt;&gt;"", $C$21*MapWeight!K113, "")</f>
        <v>145</v>
      </c>
      <c r="M112" s="72">
        <f>IF(MapWeight!L113&lt;&gt;"", $C$21*MapWeight!L113, "")</f>
        <v>145</v>
      </c>
      <c r="N112" s="72">
        <f>IF(MapWeight!M113&lt;&gt;"", $C$21*MapWeight!M113, "")</f>
        <v>145</v>
      </c>
    </row>
    <row r="113">
      <c r="A113" s="73"/>
      <c r="B113" s="33" t="s">
        <v>65</v>
      </c>
      <c r="C113" s="74">
        <f>CLO_Attainments!CE50</f>
        <v>77.5</v>
      </c>
      <c r="D113" s="76">
        <f>IF(MapWeight!C114&lt;&gt;"", $C$22*MapWeight!C114, "")</f>
        <v>146.6666667</v>
      </c>
      <c r="E113" s="76">
        <f>IF(MapWeight!D114&lt;&gt;"", $C$22*MapWeight!D114, "")</f>
        <v>146.6666667</v>
      </c>
      <c r="F113" s="76">
        <f>IF(MapWeight!E114&lt;&gt;"", $C$22*MapWeight!E114, "")</f>
        <v>146.6666667</v>
      </c>
      <c r="G113" s="76">
        <f>IF(MapWeight!F114&lt;&gt;"", $C$22*MapWeight!F114, "")</f>
        <v>146.6666667</v>
      </c>
      <c r="H113" s="76">
        <f>IF(MapWeight!G114&lt;&gt;"", $C$22*MapWeight!G114, "")</f>
        <v>146.6666667</v>
      </c>
      <c r="I113" s="76">
        <f>IF(MapWeight!H114&lt;&gt;"", $C$22*MapWeight!H114, "")</f>
        <v>146.6666667</v>
      </c>
      <c r="J113" s="76">
        <f>IF(MapWeight!I114&lt;&gt;"", $C$22*MapWeight!I114, "")</f>
        <v>146.6666667</v>
      </c>
      <c r="K113" s="76">
        <f>IF(MapWeight!J114&lt;&gt;"", $C$22*MapWeight!J114, "")</f>
        <v>146.6666667</v>
      </c>
      <c r="L113" s="76">
        <f>IF(MapWeight!K114&lt;&gt;"", $C$22*MapWeight!K114, "")</f>
        <v>146.6666667</v>
      </c>
      <c r="M113" s="76">
        <f>IF(MapWeight!L114&lt;&gt;"", $C$22*MapWeight!L114, "")</f>
        <v>146.6666667</v>
      </c>
      <c r="N113" s="76">
        <f>IF(MapWeight!M114&lt;&gt;"", $C$22*MapWeight!M114, "")</f>
        <v>146.6666667</v>
      </c>
    </row>
    <row r="114">
      <c r="A114" s="60" t="s">
        <v>60</v>
      </c>
      <c r="B114" s="39"/>
      <c r="C114" s="61">
        <f>AVERAGE(C115:C117)</f>
        <v>75</v>
      </c>
      <c r="D114" s="77">
        <f>IF(MapWeight!C115&lt;&gt;0, SUM(D115:D117)/MapWeight!C115, "")</f>
        <v>74.44444444</v>
      </c>
      <c r="E114" s="77">
        <f>IF(MapWeight!D115&lt;&gt;0, SUM(E115:E117)/MapWeight!D115, "")</f>
        <v>74.44444444</v>
      </c>
      <c r="F114" s="62">
        <f>IF(MapWeight!E115&lt;&gt;0, SUM(F115:F117)/MapWeight!E115, "")</f>
        <v>74.44444444</v>
      </c>
      <c r="G114" s="77">
        <f>IF(MapWeight!F115&lt;&gt;0, SUM(G115:G117)/MapWeight!F115, "")</f>
        <v>74.44444444</v>
      </c>
      <c r="H114" s="77">
        <f>IF(MapWeight!G115&lt;&gt;0, SUM(H115:H117)/MapWeight!G115, "")</f>
        <v>74.44444444</v>
      </c>
      <c r="I114" s="62">
        <f>IF(MapWeight!H115&lt;&gt;0, SUM(I115:I117)/MapWeight!H115, "")</f>
        <v>74.44444444</v>
      </c>
      <c r="J114" s="77">
        <f>IF(MapWeight!I115&lt;&gt;0, SUM(J115:J117)/MapWeight!I115, "")</f>
        <v>74.44444444</v>
      </c>
      <c r="K114" s="77">
        <f>IF(MapWeight!J115&lt;&gt;0, SUM(K115:K117)/MapWeight!J115, "")</f>
        <v>74.44444444</v>
      </c>
      <c r="L114" s="62">
        <f>IF(MapWeight!K115&lt;&gt;0, SUM(L115:L117)/MapWeight!K115, "")</f>
        <v>74.44444444</v>
      </c>
      <c r="M114" s="77">
        <f>IF(MapWeight!L115&lt;&gt;0, SUM(M115:M117)/MapWeight!L115, "")</f>
        <v>74.44444444</v>
      </c>
      <c r="N114" s="77">
        <f>IF(MapWeight!M115&lt;&gt;0, SUM(N115:N117)/MapWeight!M115, "")</f>
        <v>74.44444444</v>
      </c>
      <c r="O114" s="64">
        <f>AVERAGE(D114:N114)</f>
        <v>74.44444444</v>
      </c>
    </row>
    <row r="115">
      <c r="A115" s="65"/>
      <c r="B115" s="24" t="s">
        <v>55</v>
      </c>
      <c r="C115" s="66">
        <f>CLO_Attainments!CF50</f>
        <v>80</v>
      </c>
      <c r="D115" s="67">
        <f>IF(MapWeight!C116&lt;&gt;"", $C$20*MapWeight!C116, "")</f>
        <v>232.5</v>
      </c>
      <c r="E115" s="67">
        <f>IF(MapWeight!D116&lt;&gt;"", $C$20*MapWeight!D116, "")</f>
        <v>232.5</v>
      </c>
      <c r="F115" s="67">
        <f>IF(MapWeight!E116&lt;&gt;"", $C$20*MapWeight!E116, "")</f>
        <v>232.5</v>
      </c>
      <c r="G115" s="67">
        <f>IF(MapWeight!F116&lt;&gt;"", $C$20*MapWeight!F116, "")</f>
        <v>232.5</v>
      </c>
      <c r="H115" s="67">
        <f>IF(MapWeight!G116&lt;&gt;"", $C$20*MapWeight!G116, "")</f>
        <v>232.5</v>
      </c>
      <c r="I115" s="67">
        <f>IF(MapWeight!H116&lt;&gt;"", $C$20*MapWeight!H116, "")</f>
        <v>232.5</v>
      </c>
      <c r="J115" s="67">
        <f>IF(MapWeight!I116&lt;&gt;"", $C$20*MapWeight!I116, "")</f>
        <v>232.5</v>
      </c>
      <c r="K115" s="67">
        <f>IF(MapWeight!J116&lt;&gt;"", $C$20*MapWeight!J116, "")</f>
        <v>232.5</v>
      </c>
      <c r="L115" s="67">
        <f>IF(MapWeight!K116&lt;&gt;"", $C$20*MapWeight!K116, "")</f>
        <v>232.5</v>
      </c>
      <c r="M115" s="67">
        <f>IF(MapWeight!L116&lt;&gt;"", $C$20*MapWeight!L116, "")</f>
        <v>232.5</v>
      </c>
      <c r="N115" s="67">
        <f>IF(MapWeight!M116&lt;&gt;"", $C$20*MapWeight!M116, "")</f>
        <v>232.5</v>
      </c>
    </row>
    <row r="116">
      <c r="A116" s="65"/>
      <c r="B116" s="2" t="s">
        <v>61</v>
      </c>
      <c r="C116" s="70">
        <f>CLO_Attainments!CG50</f>
        <v>72.5</v>
      </c>
      <c r="D116" s="72">
        <f>IF(MapWeight!C117&lt;&gt;"", $C$21*MapWeight!C117, "")</f>
        <v>217.5</v>
      </c>
      <c r="E116" s="72">
        <f>IF(MapWeight!D117&lt;&gt;"", $C$21*MapWeight!D117, "")</f>
        <v>217.5</v>
      </c>
      <c r="F116" s="72">
        <f>IF(MapWeight!E117&lt;&gt;"", $C$21*MapWeight!E117, "")</f>
        <v>217.5</v>
      </c>
      <c r="G116" s="72">
        <f>IF(MapWeight!F117&lt;&gt;"", $C$21*MapWeight!F117, "")</f>
        <v>217.5</v>
      </c>
      <c r="H116" s="72">
        <f>IF(MapWeight!G117&lt;&gt;"", $C$21*MapWeight!G117, "")</f>
        <v>217.5</v>
      </c>
      <c r="I116" s="72">
        <f>IF(MapWeight!H117&lt;&gt;"", $C$21*MapWeight!H117, "")</f>
        <v>217.5</v>
      </c>
      <c r="J116" s="72">
        <f>IF(MapWeight!I117&lt;&gt;"", $C$21*MapWeight!I117, "")</f>
        <v>217.5</v>
      </c>
      <c r="K116" s="72">
        <f>IF(MapWeight!J117&lt;&gt;"", $C$21*MapWeight!J117, "")</f>
        <v>217.5</v>
      </c>
      <c r="L116" s="72">
        <f>IF(MapWeight!K117&lt;&gt;"", $C$21*MapWeight!K117, "")</f>
        <v>217.5</v>
      </c>
      <c r="M116" s="72">
        <f>IF(MapWeight!L117&lt;&gt;"", $C$21*MapWeight!L117, "")</f>
        <v>217.5</v>
      </c>
      <c r="N116" s="72">
        <f>IF(MapWeight!M117&lt;&gt;"", $C$21*MapWeight!M117, "")</f>
        <v>217.5</v>
      </c>
    </row>
    <row r="117">
      <c r="A117" s="73"/>
      <c r="B117" s="33" t="s">
        <v>65</v>
      </c>
      <c r="C117" s="74">
        <f>CLO_Attainments!CH50</f>
        <v>72.5</v>
      </c>
      <c r="D117" s="76">
        <f>IF(MapWeight!C118&lt;&gt;"", $C$22*MapWeight!C118, "")</f>
        <v>220</v>
      </c>
      <c r="E117" s="76">
        <f>IF(MapWeight!D118&lt;&gt;"", $C$22*MapWeight!D118, "")</f>
        <v>220</v>
      </c>
      <c r="F117" s="76">
        <f>IF(MapWeight!E118&lt;&gt;"", $C$22*MapWeight!E118, "")</f>
        <v>220</v>
      </c>
      <c r="G117" s="76">
        <f>IF(MapWeight!F118&lt;&gt;"", $C$22*MapWeight!F118, "")</f>
        <v>220</v>
      </c>
      <c r="H117" s="76">
        <f>IF(MapWeight!G118&lt;&gt;"", $C$22*MapWeight!G118, "")</f>
        <v>220</v>
      </c>
      <c r="I117" s="76">
        <f>IF(MapWeight!H118&lt;&gt;"", $C$22*MapWeight!H118, "")</f>
        <v>220</v>
      </c>
      <c r="J117" s="76">
        <f>IF(MapWeight!I118&lt;&gt;"", $C$22*MapWeight!I118, "")</f>
        <v>220</v>
      </c>
      <c r="K117" s="76">
        <f>IF(MapWeight!J118&lt;&gt;"", $C$22*MapWeight!J118, "")</f>
        <v>220</v>
      </c>
      <c r="L117" s="76">
        <f>IF(MapWeight!K118&lt;&gt;"", $C$22*MapWeight!K118, "")</f>
        <v>220</v>
      </c>
      <c r="M117" s="76">
        <f>IF(MapWeight!L118&lt;&gt;"", $C$22*MapWeight!L118, "")</f>
        <v>220</v>
      </c>
      <c r="N117" s="76">
        <f>IF(MapWeight!M118&lt;&gt;"", $C$22*MapWeight!M118, "")</f>
        <v>220</v>
      </c>
    </row>
  </sheetData>
  <mergeCells count="5">
    <mergeCell ref="A3:A4"/>
    <mergeCell ref="B3:B4"/>
    <mergeCell ref="C3:C4"/>
    <mergeCell ref="D3:N3"/>
    <mergeCell ref="O3:O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5.13"/>
    <col customWidth="1" min="3" max="13" width="12.63"/>
  </cols>
  <sheetData>
    <row r="1">
      <c r="A1" s="1" t="s">
        <v>138</v>
      </c>
    </row>
    <row r="2">
      <c r="A2" s="2" t="s">
        <v>11</v>
      </c>
    </row>
    <row r="3">
      <c r="A3" s="5" t="s">
        <v>13</v>
      </c>
      <c r="B3" s="5" t="s">
        <v>14</v>
      </c>
      <c r="C3" s="9" t="s">
        <v>12</v>
      </c>
      <c r="D3" s="10"/>
      <c r="E3" s="10"/>
      <c r="F3" s="10"/>
      <c r="G3" s="10"/>
      <c r="H3" s="10"/>
      <c r="I3" s="10"/>
      <c r="J3" s="10"/>
      <c r="K3" s="10"/>
      <c r="L3" s="10"/>
      <c r="M3" s="11"/>
    </row>
    <row r="4">
      <c r="A4" s="12"/>
      <c r="B4" s="12"/>
      <c r="C4" s="29" t="s">
        <v>17</v>
      </c>
      <c r="D4" s="29" t="s">
        <v>19</v>
      </c>
      <c r="E4" s="29" t="s">
        <v>20</v>
      </c>
      <c r="F4" s="29" t="s">
        <v>22</v>
      </c>
      <c r="G4" s="29" t="s">
        <v>23</v>
      </c>
      <c r="H4" s="29" t="s">
        <v>25</v>
      </c>
      <c r="I4" s="29" t="s">
        <v>26</v>
      </c>
      <c r="J4" s="29" t="s">
        <v>27</v>
      </c>
      <c r="K4" s="29" t="s">
        <v>29</v>
      </c>
      <c r="L4" s="29" t="s">
        <v>30</v>
      </c>
      <c r="M4" s="29" t="s">
        <v>32</v>
      </c>
    </row>
    <row r="6">
      <c r="A6" s="47" t="str">
        <f t="array" ref="A6:B45">CLO_Attainments!A6:B45</f>
        <v>2050-4522</v>
      </c>
      <c r="B6" s="47" t="s">
        <v>66</v>
      </c>
      <c r="C6" s="84">
        <f t="array" ref="C6">IF(MapWeight!$C$6&lt;&gt;0, SUMPRODUCT(TRANSPOSE(CLO_Attainments!C6:CH6),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83.02083333</v>
      </c>
      <c r="D6" s="84">
        <f t="array" ref="D6">IF(MapWeight!$D$6&lt;&gt;0, SUMPRODUCT(TRANSPOSE(CLO_Attainments!C6:CH6),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80.61538462</v>
      </c>
      <c r="E6" s="84">
        <f t="array" ref="E6">IF(MapWeight!$E$6&lt;&gt;0, SUMPRODUCT(TRANSPOSE(CLO_Attainments!C6:CH6),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80.22857143</v>
      </c>
      <c r="F6" s="84">
        <f t="array" ref="F6">IF(MapWeight!$F$6&lt;&gt;0, SUMPRODUCT(TRANSPOSE(CLO_Attainments!C6:CH6),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80.72340426</v>
      </c>
      <c r="G6" s="84">
        <f t="array" ref="G6">IF(MapWeight!$G$6&lt;&gt;0, SUMPRODUCT(TRANSPOSE(CLO_Attainments!C6:CH6),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80.69230769</v>
      </c>
      <c r="H6" s="84">
        <f t="array" ref="H6">IF(MapWeight!$H$6&lt;&gt;0, SUMPRODUCT(TRANSPOSE(CLO_Attainments!C6:CH6),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82.63333333</v>
      </c>
      <c r="I6" s="84">
        <f t="array" ref="I6">IF(MapWeight!$I$6&lt;&gt;0, SUMPRODUCT(TRANSPOSE(CLO_Attainments!C6:CH6),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80.625</v>
      </c>
      <c r="J6" s="84">
        <f t="array" ref="J6">IF(MapWeight!$J$6&lt;&gt;0, SUMPRODUCT(TRANSPOSE(CLO_Attainments!C6:CH6),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85.05555556</v>
      </c>
      <c r="K6" s="84">
        <f t="array" ref="K6">IF(MapWeight!$K$6&lt;&gt;0, SUMPRODUCT(TRANSPOSE(CLO_Attainments!C6:CH6),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83.82857143</v>
      </c>
      <c r="L6" s="84">
        <f t="array" ref="L6">IF(MapWeight!$L$6&lt;&gt;0, SUMPRODUCT(TRANSPOSE(CLO_Attainments!C6:CH6),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78.96774194</v>
      </c>
      <c r="M6" s="84">
        <f t="array" ref="M6">IF(MapWeight!$M$6&lt;&gt;0, SUMPRODUCT(TRANSPOSE(CLO_Attainments!C6:CH6),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83.02702703</v>
      </c>
    </row>
    <row r="7">
      <c r="A7" s="47" t="s">
        <v>68</v>
      </c>
      <c r="B7" s="47" t="s">
        <v>69</v>
      </c>
      <c r="C7" s="84">
        <f t="array" ref="C7">IF(MapWeight!$C$6&lt;&gt;0, SUMPRODUCT(TRANSPOSE(CLO_Attainments!C7:CH7),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81.125</v>
      </c>
      <c r="D7" s="84">
        <f t="array" ref="D7">IF(MapWeight!$D$6&lt;&gt;0, SUMPRODUCT(TRANSPOSE(CLO_Attainments!C7:CH7),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80.82692308</v>
      </c>
      <c r="E7" s="84">
        <f t="array" ref="E7">IF(MapWeight!$E$6&lt;&gt;0, SUMPRODUCT(TRANSPOSE(CLO_Attainments!C7:CH7),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80.71428571</v>
      </c>
      <c r="F7" s="84">
        <f t="array" ref="F7">IF(MapWeight!$F$6&lt;&gt;0, SUMPRODUCT(TRANSPOSE(CLO_Attainments!C7:CH7),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78.82978723</v>
      </c>
      <c r="G7" s="84">
        <f t="array" ref="G7">IF(MapWeight!$G$6&lt;&gt;0, SUMPRODUCT(TRANSPOSE(CLO_Attainments!C7:CH7),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79.32692308</v>
      </c>
      <c r="H7" s="84">
        <f t="array" ref="H7">IF(MapWeight!$H$6&lt;&gt;0, SUMPRODUCT(TRANSPOSE(CLO_Attainments!C7:CH7),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79.9</v>
      </c>
      <c r="I7" s="84">
        <f t="array" ref="I7">IF(MapWeight!$I$6&lt;&gt;0, SUMPRODUCT(TRANSPOSE(CLO_Attainments!C7:CH7),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80.05</v>
      </c>
      <c r="J7" s="84">
        <f t="array" ref="J7">IF(MapWeight!$J$6&lt;&gt;0, SUMPRODUCT(TRANSPOSE(CLO_Attainments!C7:CH7),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79.86111111</v>
      </c>
      <c r="K7" s="84">
        <f t="array" ref="K7">IF(MapWeight!$K$6&lt;&gt;0, SUMPRODUCT(TRANSPOSE(CLO_Attainments!C7:CH7),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80.42857143</v>
      </c>
      <c r="L7" s="84">
        <f t="array" ref="L7">IF(MapWeight!$L$6&lt;&gt;0, SUMPRODUCT(TRANSPOSE(CLO_Attainments!C7:CH7),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82.29032258</v>
      </c>
      <c r="M7" s="84">
        <f t="array" ref="M7">IF(MapWeight!$M$6&lt;&gt;0, SUMPRODUCT(TRANSPOSE(CLO_Attainments!C7:CH7),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80.94594595</v>
      </c>
    </row>
    <row r="8">
      <c r="A8" s="47" t="s">
        <v>71</v>
      </c>
      <c r="B8" s="47" t="s">
        <v>72</v>
      </c>
      <c r="C8" s="84">
        <f t="array" ref="C8">IF(MapWeight!$C$6&lt;&gt;0, SUMPRODUCT(TRANSPOSE(CLO_Attainments!C8:CH8),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77</v>
      </c>
      <c r="D8" s="84">
        <f t="array" ref="D8">IF(MapWeight!$D$6&lt;&gt;0, SUMPRODUCT(TRANSPOSE(CLO_Attainments!C8:CH8),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78.55769231</v>
      </c>
      <c r="E8" s="84">
        <f t="array" ref="E8">IF(MapWeight!$E$6&lt;&gt;0, SUMPRODUCT(TRANSPOSE(CLO_Attainments!C8:CH8),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75.82857143</v>
      </c>
      <c r="F8" s="84">
        <f t="array" ref="F8">IF(MapWeight!$F$6&lt;&gt;0, SUMPRODUCT(TRANSPOSE(CLO_Attainments!C8:CH8),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75.68085106</v>
      </c>
      <c r="G8" s="84">
        <f t="array" ref="G8">IF(MapWeight!$G$6&lt;&gt;0, SUMPRODUCT(TRANSPOSE(CLO_Attainments!C8:CH8),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79.46153846</v>
      </c>
      <c r="H8" s="84">
        <f t="array" ref="H8">IF(MapWeight!$H$6&lt;&gt;0, SUMPRODUCT(TRANSPOSE(CLO_Attainments!C8:CH8),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76.51666667</v>
      </c>
      <c r="I8" s="84">
        <f t="array" ref="I8">IF(MapWeight!$I$6&lt;&gt;0, SUMPRODUCT(TRANSPOSE(CLO_Attainments!C8:CH8),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77.25</v>
      </c>
      <c r="J8" s="84">
        <f t="array" ref="J8">IF(MapWeight!$J$6&lt;&gt;0, SUMPRODUCT(TRANSPOSE(CLO_Attainments!C8:CH8),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77.08333333</v>
      </c>
      <c r="K8" s="84">
        <f t="array" ref="K8">IF(MapWeight!$K$6&lt;&gt;0, SUMPRODUCT(TRANSPOSE(CLO_Attainments!C8:CH8),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79.74285714</v>
      </c>
      <c r="L8" s="84">
        <f t="array" ref="L8">IF(MapWeight!$L$6&lt;&gt;0, SUMPRODUCT(TRANSPOSE(CLO_Attainments!C8:CH8),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77.32258065</v>
      </c>
      <c r="M8" s="84">
        <f t="array" ref="M8">IF(MapWeight!$M$6&lt;&gt;0, SUMPRODUCT(TRANSPOSE(CLO_Attainments!C8:CH8),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76.7027027</v>
      </c>
    </row>
    <row r="9">
      <c r="A9" s="47" t="s">
        <v>73</v>
      </c>
      <c r="B9" s="47" t="s">
        <v>74</v>
      </c>
      <c r="C9" s="84">
        <f t="array" ref="C9">IF(MapWeight!$C$6&lt;&gt;0, SUMPRODUCT(TRANSPOSE(CLO_Attainments!C9:CH9),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75.4375</v>
      </c>
      <c r="D9" s="84">
        <f t="array" ref="D9">IF(MapWeight!$D$6&lt;&gt;0, SUMPRODUCT(TRANSPOSE(CLO_Attainments!C9:CH9),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78.05769231</v>
      </c>
      <c r="E9" s="84">
        <f t="array" ref="E9">IF(MapWeight!$E$6&lt;&gt;0, SUMPRODUCT(TRANSPOSE(CLO_Attainments!C9:CH9),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78.12857143</v>
      </c>
      <c r="F9" s="84">
        <f t="array" ref="F9">IF(MapWeight!$F$6&lt;&gt;0, SUMPRODUCT(TRANSPOSE(CLO_Attainments!C9:CH9),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77.06382979</v>
      </c>
      <c r="G9" s="84">
        <f t="array" ref="G9">IF(MapWeight!$G$6&lt;&gt;0, SUMPRODUCT(TRANSPOSE(CLO_Attainments!C9:CH9),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79.5</v>
      </c>
      <c r="H9" s="84">
        <f t="array" ref="H9">IF(MapWeight!$H$6&lt;&gt;0, SUMPRODUCT(TRANSPOSE(CLO_Attainments!C9:CH9),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79.83333333</v>
      </c>
      <c r="I9" s="84">
        <f t="array" ref="I9">IF(MapWeight!$I$6&lt;&gt;0, SUMPRODUCT(TRANSPOSE(CLO_Attainments!C9:CH9),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79.6</v>
      </c>
      <c r="J9" s="84">
        <f t="array" ref="J9">IF(MapWeight!$J$6&lt;&gt;0, SUMPRODUCT(TRANSPOSE(CLO_Attainments!C9:CH9),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80.86111111</v>
      </c>
      <c r="K9" s="84">
        <f t="array" ref="K9">IF(MapWeight!$K$6&lt;&gt;0, SUMPRODUCT(TRANSPOSE(CLO_Attainments!C9:CH9),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80.08571429</v>
      </c>
      <c r="L9" s="84">
        <f t="array" ref="L9">IF(MapWeight!$L$6&lt;&gt;0, SUMPRODUCT(TRANSPOSE(CLO_Attainments!C9:CH9),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80</v>
      </c>
      <c r="M9" s="84">
        <f t="array" ref="M9">IF(MapWeight!$M$6&lt;&gt;0, SUMPRODUCT(TRANSPOSE(CLO_Attainments!C9:CH9),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80.78378378</v>
      </c>
    </row>
    <row r="10">
      <c r="A10" s="47" t="s">
        <v>75</v>
      </c>
      <c r="B10" s="47" t="s">
        <v>76</v>
      </c>
      <c r="C10" s="84">
        <f t="array" ref="C10">IF(MapWeight!$C$6&lt;&gt;0, SUMPRODUCT(TRANSPOSE(CLO_Attainments!C10:CH10),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83.45833333</v>
      </c>
      <c r="D10" s="84">
        <f t="array" ref="D10">IF(MapWeight!$D$6&lt;&gt;0, SUMPRODUCT(TRANSPOSE(CLO_Attainments!C10:CH10),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81.73076923</v>
      </c>
      <c r="E10" s="84">
        <f t="array" ref="E10">IF(MapWeight!$E$6&lt;&gt;0, SUMPRODUCT(TRANSPOSE(CLO_Attainments!C10:CH10),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82.44285714</v>
      </c>
      <c r="F10" s="84">
        <f t="array" ref="F10">IF(MapWeight!$F$6&lt;&gt;0, SUMPRODUCT(TRANSPOSE(CLO_Attainments!C10:CH10),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83.82978723</v>
      </c>
      <c r="G10" s="84">
        <f t="array" ref="G10">IF(MapWeight!$G$6&lt;&gt;0, SUMPRODUCT(TRANSPOSE(CLO_Attainments!C10:CH10),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83.63461538</v>
      </c>
      <c r="H10" s="84">
        <f t="array" ref="H10">IF(MapWeight!$H$6&lt;&gt;0, SUMPRODUCT(TRANSPOSE(CLO_Attainments!C10:CH10),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80.78333333</v>
      </c>
      <c r="I10" s="84">
        <f t="array" ref="I10">IF(MapWeight!$I$6&lt;&gt;0, SUMPRODUCT(TRANSPOSE(CLO_Attainments!C10:CH10),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81.15</v>
      </c>
      <c r="J10" s="84">
        <f t="array" ref="J10">IF(MapWeight!$J$6&lt;&gt;0, SUMPRODUCT(TRANSPOSE(CLO_Attainments!C10:CH10),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81.47222222</v>
      </c>
      <c r="K10" s="84">
        <f t="array" ref="K10">IF(MapWeight!$K$6&lt;&gt;0, SUMPRODUCT(TRANSPOSE(CLO_Attainments!C10:CH10),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83.74285714</v>
      </c>
      <c r="L10" s="84">
        <f t="array" ref="L10">IF(MapWeight!$L$6&lt;&gt;0, SUMPRODUCT(TRANSPOSE(CLO_Attainments!C10:CH10),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84.16129032</v>
      </c>
      <c r="M10" s="84">
        <f t="array" ref="M10">IF(MapWeight!$M$6&lt;&gt;0, SUMPRODUCT(TRANSPOSE(CLO_Attainments!C10:CH10),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83.94594595</v>
      </c>
    </row>
    <row r="11">
      <c r="A11" s="47" t="s">
        <v>77</v>
      </c>
      <c r="B11" s="47" t="s">
        <v>78</v>
      </c>
      <c r="C11" s="84">
        <f t="array" ref="C11">IF(MapWeight!$C$6&lt;&gt;0, SUMPRODUCT(TRANSPOSE(CLO_Attainments!C11:CH11),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79.45833333</v>
      </c>
      <c r="D11" s="84">
        <f t="array" ref="D11">IF(MapWeight!$D$6&lt;&gt;0, SUMPRODUCT(TRANSPOSE(CLO_Attainments!C11:CH11),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79.94230769</v>
      </c>
      <c r="E11" s="84">
        <f t="array" ref="E11">IF(MapWeight!$E$6&lt;&gt;0, SUMPRODUCT(TRANSPOSE(CLO_Attainments!C11:CH11),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75.2</v>
      </c>
      <c r="F11" s="84">
        <f t="array" ref="F11">IF(MapWeight!$F$6&lt;&gt;0, SUMPRODUCT(TRANSPOSE(CLO_Attainments!C11:CH11),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77.61702128</v>
      </c>
      <c r="G11" s="84">
        <f t="array" ref="G11">IF(MapWeight!$G$6&lt;&gt;0, SUMPRODUCT(TRANSPOSE(CLO_Attainments!C11:CH11),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78.86538462</v>
      </c>
      <c r="H11" s="84">
        <f t="array" ref="H11">IF(MapWeight!$H$6&lt;&gt;0, SUMPRODUCT(TRANSPOSE(CLO_Attainments!C11:CH11),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74.93333333</v>
      </c>
      <c r="I11" s="84">
        <f t="array" ref="I11">IF(MapWeight!$I$6&lt;&gt;0, SUMPRODUCT(TRANSPOSE(CLO_Attainments!C11:CH11),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79.175</v>
      </c>
      <c r="J11" s="84">
        <f t="array" ref="J11">IF(MapWeight!$J$6&lt;&gt;0, SUMPRODUCT(TRANSPOSE(CLO_Attainments!C11:CH11),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81</v>
      </c>
      <c r="K11" s="84">
        <f t="array" ref="K11">IF(MapWeight!$K$6&lt;&gt;0, SUMPRODUCT(TRANSPOSE(CLO_Attainments!C11:CH11),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77.8</v>
      </c>
      <c r="L11" s="84">
        <f t="array" ref="L11">IF(MapWeight!$L$6&lt;&gt;0, SUMPRODUCT(TRANSPOSE(CLO_Attainments!C11:CH11),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81.38709677</v>
      </c>
      <c r="M11" s="84">
        <f t="array" ref="M11">IF(MapWeight!$M$6&lt;&gt;0, SUMPRODUCT(TRANSPOSE(CLO_Attainments!C11:CH11),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82</v>
      </c>
    </row>
    <row r="12">
      <c r="A12" s="47" t="s">
        <v>79</v>
      </c>
      <c r="B12" s="47" t="s">
        <v>80</v>
      </c>
      <c r="C12" s="84">
        <f t="array" ref="C12">IF(MapWeight!$C$6&lt;&gt;0, SUMPRODUCT(TRANSPOSE(CLO_Attainments!C12:CH12),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79.625</v>
      </c>
      <c r="D12" s="84">
        <f t="array" ref="D12">IF(MapWeight!$D$6&lt;&gt;0, SUMPRODUCT(TRANSPOSE(CLO_Attainments!C12:CH12),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76.84615385</v>
      </c>
      <c r="E12" s="84">
        <f t="array" ref="E12">IF(MapWeight!$E$6&lt;&gt;0, SUMPRODUCT(TRANSPOSE(CLO_Attainments!C12:CH12),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79.45714286</v>
      </c>
      <c r="F12" s="84">
        <f t="array" ref="F12">IF(MapWeight!$F$6&lt;&gt;0, SUMPRODUCT(TRANSPOSE(CLO_Attainments!C12:CH12),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78.38297872</v>
      </c>
      <c r="G12" s="84">
        <f t="array" ref="G12">IF(MapWeight!$G$6&lt;&gt;0, SUMPRODUCT(TRANSPOSE(CLO_Attainments!C12:CH12),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75.28846154</v>
      </c>
      <c r="H12" s="84">
        <f t="array" ref="H12">IF(MapWeight!$H$6&lt;&gt;0, SUMPRODUCT(TRANSPOSE(CLO_Attainments!C12:CH12),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78.83333333</v>
      </c>
      <c r="I12" s="84">
        <f t="array" ref="I12">IF(MapWeight!$I$6&lt;&gt;0, SUMPRODUCT(TRANSPOSE(CLO_Attainments!C12:CH12),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78.9</v>
      </c>
      <c r="J12" s="84">
        <f t="array" ref="J12">IF(MapWeight!$J$6&lt;&gt;0, SUMPRODUCT(TRANSPOSE(CLO_Attainments!C12:CH12),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76.38888889</v>
      </c>
      <c r="K12" s="84">
        <f t="array" ref="K12">IF(MapWeight!$K$6&lt;&gt;0, SUMPRODUCT(TRANSPOSE(CLO_Attainments!C12:CH12),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78.77142857</v>
      </c>
      <c r="L12" s="84">
        <f t="array" ref="L12">IF(MapWeight!$L$6&lt;&gt;0, SUMPRODUCT(TRANSPOSE(CLO_Attainments!C12:CH12),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76.03225806</v>
      </c>
      <c r="M12" s="84">
        <f t="array" ref="M12">IF(MapWeight!$M$6&lt;&gt;0, SUMPRODUCT(TRANSPOSE(CLO_Attainments!C12:CH12),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76.62162162</v>
      </c>
    </row>
    <row r="13">
      <c r="A13" s="47" t="s">
        <v>81</v>
      </c>
      <c r="B13" s="47" t="s">
        <v>82</v>
      </c>
      <c r="C13" s="84">
        <f t="array" ref="C13">IF(MapWeight!$C$6&lt;&gt;0, SUMPRODUCT(TRANSPOSE(CLO_Attainments!C13:CH13),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77.25</v>
      </c>
      <c r="D13" s="84">
        <f t="array" ref="D13">IF(MapWeight!$D$6&lt;&gt;0, SUMPRODUCT(TRANSPOSE(CLO_Attainments!C13:CH13),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77.76923077</v>
      </c>
      <c r="E13" s="84">
        <f t="array" ref="E13">IF(MapWeight!$E$6&lt;&gt;0, SUMPRODUCT(TRANSPOSE(CLO_Attainments!C13:CH13),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77.02857143</v>
      </c>
      <c r="F13" s="84">
        <f t="array" ref="F13">IF(MapWeight!$F$6&lt;&gt;0, SUMPRODUCT(TRANSPOSE(CLO_Attainments!C13:CH13),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76.29787234</v>
      </c>
      <c r="G13" s="84">
        <f t="array" ref="G13">IF(MapWeight!$G$6&lt;&gt;0, SUMPRODUCT(TRANSPOSE(CLO_Attainments!C13:CH13),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80.88461538</v>
      </c>
      <c r="H13" s="84">
        <f t="array" ref="H13">IF(MapWeight!$H$6&lt;&gt;0, SUMPRODUCT(TRANSPOSE(CLO_Attainments!C13:CH13),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80.61666667</v>
      </c>
      <c r="I13" s="84">
        <f t="array" ref="I13">IF(MapWeight!$I$6&lt;&gt;0, SUMPRODUCT(TRANSPOSE(CLO_Attainments!C13:CH13),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78.7</v>
      </c>
      <c r="J13" s="84">
        <f t="array" ref="J13">IF(MapWeight!$J$6&lt;&gt;0, SUMPRODUCT(TRANSPOSE(CLO_Attainments!C13:CH13),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75.94444444</v>
      </c>
      <c r="K13" s="84">
        <f t="array" ref="K13">IF(MapWeight!$K$6&lt;&gt;0, SUMPRODUCT(TRANSPOSE(CLO_Attainments!C13:CH13),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77.02857143</v>
      </c>
      <c r="L13" s="84">
        <f t="array" ref="L13">IF(MapWeight!$L$6&lt;&gt;0, SUMPRODUCT(TRANSPOSE(CLO_Attainments!C13:CH13),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77.19354839</v>
      </c>
      <c r="M13" s="84">
        <f t="array" ref="M13">IF(MapWeight!$M$6&lt;&gt;0, SUMPRODUCT(TRANSPOSE(CLO_Attainments!C13:CH13),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75.05405405</v>
      </c>
    </row>
    <row r="14">
      <c r="A14" s="47" t="s">
        <v>83</v>
      </c>
      <c r="B14" s="47" t="s">
        <v>84</v>
      </c>
      <c r="C14" s="84">
        <f t="array" ref="C14">IF(MapWeight!$C$6&lt;&gt;0, SUMPRODUCT(TRANSPOSE(CLO_Attainments!C14:CH14),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81.47916667</v>
      </c>
      <c r="D14" s="84">
        <f t="array" ref="D14">IF(MapWeight!$D$6&lt;&gt;0, SUMPRODUCT(TRANSPOSE(CLO_Attainments!C14:CH14),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82.23076923</v>
      </c>
      <c r="E14" s="84">
        <f t="array" ref="E14">IF(MapWeight!$E$6&lt;&gt;0, SUMPRODUCT(TRANSPOSE(CLO_Attainments!C14:CH14),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80.78571429</v>
      </c>
      <c r="F14" s="84">
        <f t="array" ref="F14">IF(MapWeight!$F$6&lt;&gt;0, SUMPRODUCT(TRANSPOSE(CLO_Attainments!C14:CH14),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83.91489362</v>
      </c>
      <c r="G14" s="84">
        <f t="array" ref="G14">IF(MapWeight!$G$6&lt;&gt;0, SUMPRODUCT(TRANSPOSE(CLO_Attainments!C14:CH14),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78.98076923</v>
      </c>
      <c r="H14" s="84">
        <f t="array" ref="H14">IF(MapWeight!$H$6&lt;&gt;0, SUMPRODUCT(TRANSPOSE(CLO_Attainments!C14:CH14),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82.78333333</v>
      </c>
      <c r="I14" s="84">
        <f t="array" ref="I14">IF(MapWeight!$I$6&lt;&gt;0, SUMPRODUCT(TRANSPOSE(CLO_Attainments!C14:CH14),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83.55</v>
      </c>
      <c r="J14" s="84">
        <f t="array" ref="J14">IF(MapWeight!$J$6&lt;&gt;0, SUMPRODUCT(TRANSPOSE(CLO_Attainments!C14:CH14),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79.44444444</v>
      </c>
      <c r="K14" s="84">
        <f t="array" ref="K14">IF(MapWeight!$K$6&lt;&gt;0, SUMPRODUCT(TRANSPOSE(CLO_Attainments!C14:CH14),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83.68571429</v>
      </c>
      <c r="L14" s="84">
        <f t="array" ref="L14">IF(MapWeight!$L$6&lt;&gt;0, SUMPRODUCT(TRANSPOSE(CLO_Attainments!C14:CH14),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81.22580645</v>
      </c>
      <c r="M14" s="84">
        <f t="array" ref="M14">IF(MapWeight!$M$6&lt;&gt;0, SUMPRODUCT(TRANSPOSE(CLO_Attainments!C14:CH14),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80.32432432</v>
      </c>
    </row>
    <row r="15">
      <c r="A15" s="47" t="s">
        <v>85</v>
      </c>
      <c r="B15" s="47" t="s">
        <v>86</v>
      </c>
      <c r="C15" s="84">
        <f t="array" ref="C15">IF(MapWeight!$C$6&lt;&gt;0, SUMPRODUCT(TRANSPOSE(CLO_Attainments!C15:CH15),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81.125</v>
      </c>
      <c r="D15" s="84">
        <f t="array" ref="D15">IF(MapWeight!$D$6&lt;&gt;0, SUMPRODUCT(TRANSPOSE(CLO_Attainments!C15:CH15),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79.30769231</v>
      </c>
      <c r="E15" s="84">
        <f t="array" ref="E15">IF(MapWeight!$E$6&lt;&gt;0, SUMPRODUCT(TRANSPOSE(CLO_Attainments!C15:CH15),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77.62857143</v>
      </c>
      <c r="F15" s="84">
        <f t="array" ref="F15">IF(MapWeight!$F$6&lt;&gt;0, SUMPRODUCT(TRANSPOSE(CLO_Attainments!C15:CH15),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81</v>
      </c>
      <c r="G15" s="84">
        <f t="array" ref="G15">IF(MapWeight!$G$6&lt;&gt;0, SUMPRODUCT(TRANSPOSE(CLO_Attainments!C15:CH15),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80.63461538</v>
      </c>
      <c r="H15" s="84">
        <f t="array" ref="H15">IF(MapWeight!$H$6&lt;&gt;0, SUMPRODUCT(TRANSPOSE(CLO_Attainments!C15:CH15),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80.76666667</v>
      </c>
      <c r="I15" s="84">
        <f t="array" ref="I15">IF(MapWeight!$I$6&lt;&gt;0, SUMPRODUCT(TRANSPOSE(CLO_Attainments!C15:CH15),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81.1</v>
      </c>
      <c r="J15" s="84">
        <f t="array" ref="J15">IF(MapWeight!$J$6&lt;&gt;0, SUMPRODUCT(TRANSPOSE(CLO_Attainments!C15:CH15),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80.02777778</v>
      </c>
      <c r="K15" s="84">
        <f t="array" ref="K15">IF(MapWeight!$K$6&lt;&gt;0, SUMPRODUCT(TRANSPOSE(CLO_Attainments!C15:CH15),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82.82857143</v>
      </c>
      <c r="L15" s="84">
        <f t="array" ref="L15">IF(MapWeight!$L$6&lt;&gt;0, SUMPRODUCT(TRANSPOSE(CLO_Attainments!C15:CH15),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84.22580645</v>
      </c>
      <c r="M15" s="84">
        <f t="array" ref="M15">IF(MapWeight!$M$6&lt;&gt;0, SUMPRODUCT(TRANSPOSE(CLO_Attainments!C15:CH15),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81.27027027</v>
      </c>
    </row>
    <row r="16">
      <c r="A16" s="47" t="s">
        <v>87</v>
      </c>
      <c r="B16" s="47" t="s">
        <v>88</v>
      </c>
      <c r="C16" s="84">
        <f t="array" ref="C16">IF(MapWeight!$C$6&lt;&gt;0, SUMPRODUCT(TRANSPOSE(CLO_Attainments!C16:CH16),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76.58333333</v>
      </c>
      <c r="D16" s="84">
        <f t="array" ref="D16">IF(MapWeight!$D$6&lt;&gt;0, SUMPRODUCT(TRANSPOSE(CLO_Attainments!C16:CH16),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80.11538462</v>
      </c>
      <c r="E16" s="84">
        <f t="array" ref="E16">IF(MapWeight!$E$6&lt;&gt;0, SUMPRODUCT(TRANSPOSE(CLO_Attainments!C16:CH16),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77.91428571</v>
      </c>
      <c r="F16" s="84">
        <f t="array" ref="F16">IF(MapWeight!$F$6&lt;&gt;0, SUMPRODUCT(TRANSPOSE(CLO_Attainments!C16:CH16),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76.70212766</v>
      </c>
      <c r="G16" s="84">
        <f t="array" ref="G16">IF(MapWeight!$G$6&lt;&gt;0, SUMPRODUCT(TRANSPOSE(CLO_Attainments!C16:CH16),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79.42307692</v>
      </c>
      <c r="H16" s="84">
        <f t="array" ref="H16">IF(MapWeight!$H$6&lt;&gt;0, SUMPRODUCT(TRANSPOSE(CLO_Attainments!C16:CH16),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77.45</v>
      </c>
      <c r="I16" s="84">
        <f t="array" ref="I16">IF(MapWeight!$I$6&lt;&gt;0, SUMPRODUCT(TRANSPOSE(CLO_Attainments!C16:CH16),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76.35</v>
      </c>
      <c r="J16" s="84">
        <f t="array" ref="J16">IF(MapWeight!$J$6&lt;&gt;0, SUMPRODUCT(TRANSPOSE(CLO_Attainments!C16:CH16),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80.77777778</v>
      </c>
      <c r="K16" s="84">
        <f t="array" ref="K16">IF(MapWeight!$K$6&lt;&gt;0, SUMPRODUCT(TRANSPOSE(CLO_Attainments!C16:CH16),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76.85714286</v>
      </c>
      <c r="L16" s="84">
        <f t="array" ref="L16">IF(MapWeight!$L$6&lt;&gt;0, SUMPRODUCT(TRANSPOSE(CLO_Attainments!C16:CH16),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78.96774194</v>
      </c>
      <c r="M16" s="84">
        <f t="array" ref="M16">IF(MapWeight!$M$6&lt;&gt;0, SUMPRODUCT(TRANSPOSE(CLO_Attainments!C16:CH16),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78.72972973</v>
      </c>
    </row>
    <row r="17">
      <c r="A17" s="47" t="s">
        <v>89</v>
      </c>
      <c r="B17" s="47" t="s">
        <v>90</v>
      </c>
      <c r="C17" s="84">
        <f t="array" ref="C17">IF(MapWeight!$C$6&lt;&gt;0, SUMPRODUCT(TRANSPOSE(CLO_Attainments!C17:CH17),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77.58333333</v>
      </c>
      <c r="D17" s="84">
        <f t="array" ref="D17">IF(MapWeight!$D$6&lt;&gt;0, SUMPRODUCT(TRANSPOSE(CLO_Attainments!C17:CH17),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78.19230769</v>
      </c>
      <c r="E17" s="84">
        <f t="array" ref="E17">IF(MapWeight!$E$6&lt;&gt;0, SUMPRODUCT(TRANSPOSE(CLO_Attainments!C17:CH17),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76.64285714</v>
      </c>
      <c r="F17" s="84">
        <f t="array" ref="F17">IF(MapWeight!$F$6&lt;&gt;0, SUMPRODUCT(TRANSPOSE(CLO_Attainments!C17:CH17),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76.61702128</v>
      </c>
      <c r="G17" s="84">
        <f t="array" ref="G17">IF(MapWeight!$G$6&lt;&gt;0, SUMPRODUCT(TRANSPOSE(CLO_Attainments!C17:CH17),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80.82692308</v>
      </c>
      <c r="H17" s="84">
        <f t="array" ref="H17">IF(MapWeight!$H$6&lt;&gt;0, SUMPRODUCT(TRANSPOSE(CLO_Attainments!C17:CH17),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78.46666667</v>
      </c>
      <c r="I17" s="84">
        <f t="array" ref="I17">IF(MapWeight!$I$6&lt;&gt;0, SUMPRODUCT(TRANSPOSE(CLO_Attainments!C17:CH17),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76.5</v>
      </c>
      <c r="J17" s="84">
        <f t="array" ref="J17">IF(MapWeight!$J$6&lt;&gt;0, SUMPRODUCT(TRANSPOSE(CLO_Attainments!C17:CH17),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76.33333333</v>
      </c>
      <c r="K17" s="84">
        <f t="array" ref="K17">IF(MapWeight!$K$6&lt;&gt;0, SUMPRODUCT(TRANSPOSE(CLO_Attainments!C17:CH17),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74.82857143</v>
      </c>
      <c r="L17" s="84">
        <f t="array" ref="L17">IF(MapWeight!$L$6&lt;&gt;0, SUMPRODUCT(TRANSPOSE(CLO_Attainments!C17:CH17),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77.83870968</v>
      </c>
      <c r="M17" s="84">
        <f t="array" ref="M17">IF(MapWeight!$M$6&lt;&gt;0, SUMPRODUCT(TRANSPOSE(CLO_Attainments!C17:CH17),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78.24324324</v>
      </c>
    </row>
    <row r="18">
      <c r="A18" s="47" t="s">
        <v>91</v>
      </c>
      <c r="B18" s="47" t="s">
        <v>92</v>
      </c>
      <c r="C18" s="84">
        <f t="array" ref="C18">IF(MapWeight!$C$6&lt;&gt;0, SUMPRODUCT(TRANSPOSE(CLO_Attainments!C18:CH18),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80.6875</v>
      </c>
      <c r="D18" s="84">
        <f t="array" ref="D18">IF(MapWeight!$D$6&lt;&gt;0, SUMPRODUCT(TRANSPOSE(CLO_Attainments!C18:CH18),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82.76923077</v>
      </c>
      <c r="E18" s="84">
        <f t="array" ref="E18">IF(MapWeight!$E$6&lt;&gt;0, SUMPRODUCT(TRANSPOSE(CLO_Attainments!C18:CH18),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80.94285714</v>
      </c>
      <c r="F18" s="84">
        <f t="array" ref="F18">IF(MapWeight!$F$6&lt;&gt;0, SUMPRODUCT(TRANSPOSE(CLO_Attainments!C18:CH18),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80</v>
      </c>
      <c r="G18" s="84">
        <f t="array" ref="G18">IF(MapWeight!$G$6&lt;&gt;0, SUMPRODUCT(TRANSPOSE(CLO_Attainments!C18:CH18),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80.94230769</v>
      </c>
      <c r="H18" s="84">
        <f t="array" ref="H18">IF(MapWeight!$H$6&lt;&gt;0, SUMPRODUCT(TRANSPOSE(CLO_Attainments!C18:CH18),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82.35</v>
      </c>
      <c r="I18" s="84">
        <f t="array" ref="I18">IF(MapWeight!$I$6&lt;&gt;0, SUMPRODUCT(TRANSPOSE(CLO_Attainments!C18:CH18),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84</v>
      </c>
      <c r="J18" s="84">
        <f t="array" ref="J18">IF(MapWeight!$J$6&lt;&gt;0, SUMPRODUCT(TRANSPOSE(CLO_Attainments!C18:CH18),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84.05555556</v>
      </c>
      <c r="K18" s="84">
        <f t="array" ref="K18">IF(MapWeight!$K$6&lt;&gt;0, SUMPRODUCT(TRANSPOSE(CLO_Attainments!C18:CH18),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77.94285714</v>
      </c>
      <c r="L18" s="84">
        <f t="array" ref="L18">IF(MapWeight!$L$6&lt;&gt;0, SUMPRODUCT(TRANSPOSE(CLO_Attainments!C18:CH18),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82.51612903</v>
      </c>
      <c r="M18" s="84">
        <f t="array" ref="M18">IF(MapWeight!$M$6&lt;&gt;0, SUMPRODUCT(TRANSPOSE(CLO_Attainments!C18:CH18),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81.81081081</v>
      </c>
    </row>
    <row r="19">
      <c r="A19" s="47" t="s">
        <v>93</v>
      </c>
      <c r="B19" s="47" t="s">
        <v>94</v>
      </c>
      <c r="C19" s="84">
        <f t="array" ref="C19">IF(MapWeight!$C$6&lt;&gt;0, SUMPRODUCT(TRANSPOSE(CLO_Attainments!C19:CH19),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77.77083333</v>
      </c>
      <c r="D19" s="84">
        <f t="array" ref="D19">IF(MapWeight!$D$6&lt;&gt;0, SUMPRODUCT(TRANSPOSE(CLO_Attainments!C19:CH19),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77.88461538</v>
      </c>
      <c r="E19" s="84">
        <f t="array" ref="E19">IF(MapWeight!$E$6&lt;&gt;0, SUMPRODUCT(TRANSPOSE(CLO_Attainments!C19:CH19),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76.38571429</v>
      </c>
      <c r="F19" s="84">
        <f t="array" ref="F19">IF(MapWeight!$F$6&lt;&gt;0, SUMPRODUCT(TRANSPOSE(CLO_Attainments!C19:CH19),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78.89361702</v>
      </c>
      <c r="G19" s="84">
        <f t="array" ref="G19">IF(MapWeight!$G$6&lt;&gt;0, SUMPRODUCT(TRANSPOSE(CLO_Attainments!C19:CH19),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77.40384615</v>
      </c>
      <c r="H19" s="84">
        <f t="array" ref="H19">IF(MapWeight!$H$6&lt;&gt;0, SUMPRODUCT(TRANSPOSE(CLO_Attainments!C19:CH19),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78.46666667</v>
      </c>
      <c r="I19" s="84">
        <f t="array" ref="I19">IF(MapWeight!$I$6&lt;&gt;0, SUMPRODUCT(TRANSPOSE(CLO_Attainments!C19:CH19),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80.325</v>
      </c>
      <c r="J19" s="84">
        <f t="array" ref="J19">IF(MapWeight!$J$6&lt;&gt;0, SUMPRODUCT(TRANSPOSE(CLO_Attainments!C19:CH19),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78.97222222</v>
      </c>
      <c r="K19" s="84">
        <f t="array" ref="K19">IF(MapWeight!$K$6&lt;&gt;0, SUMPRODUCT(TRANSPOSE(CLO_Attainments!C19:CH19),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79.28571429</v>
      </c>
      <c r="L19" s="84">
        <f t="array" ref="L19">IF(MapWeight!$L$6&lt;&gt;0, SUMPRODUCT(TRANSPOSE(CLO_Attainments!C19:CH19),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82.16129032</v>
      </c>
      <c r="M19" s="84">
        <f t="array" ref="M19">IF(MapWeight!$M$6&lt;&gt;0, SUMPRODUCT(TRANSPOSE(CLO_Attainments!C19:CH19),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83</v>
      </c>
    </row>
    <row r="20">
      <c r="A20" s="47" t="s">
        <v>95</v>
      </c>
      <c r="B20" s="47" t="s">
        <v>96</v>
      </c>
      <c r="C20" s="84">
        <f t="array" ref="C20">IF(MapWeight!$C$6&lt;&gt;0, SUMPRODUCT(TRANSPOSE(CLO_Attainments!C20:CH20),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76.5625</v>
      </c>
      <c r="D20" s="84">
        <f t="array" ref="D20">IF(MapWeight!$D$6&lt;&gt;0, SUMPRODUCT(TRANSPOSE(CLO_Attainments!C20:CH20),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79.15384615</v>
      </c>
      <c r="E20" s="84">
        <f t="array" ref="E20">IF(MapWeight!$E$6&lt;&gt;0, SUMPRODUCT(TRANSPOSE(CLO_Attainments!C20:CH20),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79.64285714</v>
      </c>
      <c r="F20" s="84">
        <f t="array" ref="F20">IF(MapWeight!$F$6&lt;&gt;0, SUMPRODUCT(TRANSPOSE(CLO_Attainments!C20:CH20),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75.57446809</v>
      </c>
      <c r="G20" s="84">
        <f t="array" ref="G20">IF(MapWeight!$G$6&lt;&gt;0, SUMPRODUCT(TRANSPOSE(CLO_Attainments!C20:CH20),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80.38461538</v>
      </c>
      <c r="H20" s="84">
        <f t="array" ref="H20">IF(MapWeight!$H$6&lt;&gt;0, SUMPRODUCT(TRANSPOSE(CLO_Attainments!C20:CH20),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78.23333333</v>
      </c>
      <c r="I20" s="84">
        <f t="array" ref="I20">IF(MapWeight!$I$6&lt;&gt;0, SUMPRODUCT(TRANSPOSE(CLO_Attainments!C20:CH20),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80.225</v>
      </c>
      <c r="J20" s="84">
        <f t="array" ref="J20">IF(MapWeight!$J$6&lt;&gt;0, SUMPRODUCT(TRANSPOSE(CLO_Attainments!C20:CH20),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81.25</v>
      </c>
      <c r="K20" s="84">
        <f t="array" ref="K20">IF(MapWeight!$K$6&lt;&gt;0, SUMPRODUCT(TRANSPOSE(CLO_Attainments!C20:CH20),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79.28571429</v>
      </c>
      <c r="L20" s="84">
        <f t="array" ref="L20">IF(MapWeight!$L$6&lt;&gt;0, SUMPRODUCT(TRANSPOSE(CLO_Attainments!C20:CH20),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76.96774194</v>
      </c>
      <c r="M20" s="84">
        <f t="array" ref="M20">IF(MapWeight!$M$6&lt;&gt;0, SUMPRODUCT(TRANSPOSE(CLO_Attainments!C20:CH20),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77.7027027</v>
      </c>
    </row>
    <row r="21">
      <c r="A21" s="47" t="s">
        <v>97</v>
      </c>
      <c r="B21" s="47" t="s">
        <v>98</v>
      </c>
      <c r="C21" s="84">
        <f t="array" ref="C21">IF(MapWeight!$C$6&lt;&gt;0, SUMPRODUCT(TRANSPOSE(CLO_Attainments!C21:CH21),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80.5625</v>
      </c>
      <c r="D21" s="84">
        <f t="array" ref="D21">IF(MapWeight!$D$6&lt;&gt;0, SUMPRODUCT(TRANSPOSE(CLO_Attainments!C21:CH21),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84.61538462</v>
      </c>
      <c r="E21" s="84">
        <f t="array" ref="E21">IF(MapWeight!$E$6&lt;&gt;0, SUMPRODUCT(TRANSPOSE(CLO_Attainments!C21:CH21),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83.75714286</v>
      </c>
      <c r="F21" s="84">
        <f t="array" ref="F21">IF(MapWeight!$F$6&lt;&gt;0, SUMPRODUCT(TRANSPOSE(CLO_Attainments!C21:CH21),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81.44680851</v>
      </c>
      <c r="G21" s="84">
        <f t="array" ref="G21">IF(MapWeight!$G$6&lt;&gt;0, SUMPRODUCT(TRANSPOSE(CLO_Attainments!C21:CH21),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82.30769231</v>
      </c>
      <c r="H21" s="84">
        <f t="array" ref="H21">IF(MapWeight!$H$6&lt;&gt;0, SUMPRODUCT(TRANSPOSE(CLO_Attainments!C21:CH21),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83.61666667</v>
      </c>
      <c r="I21" s="84">
        <f t="array" ref="I21">IF(MapWeight!$I$6&lt;&gt;0, SUMPRODUCT(TRANSPOSE(CLO_Attainments!C21:CH21),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84.975</v>
      </c>
      <c r="J21" s="84">
        <f t="array" ref="J21">IF(MapWeight!$J$6&lt;&gt;0, SUMPRODUCT(TRANSPOSE(CLO_Attainments!C21:CH21),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84.69444444</v>
      </c>
      <c r="K21" s="84">
        <f t="array" ref="K21">IF(MapWeight!$K$6&lt;&gt;0, SUMPRODUCT(TRANSPOSE(CLO_Attainments!C21:CH21),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84.57142857</v>
      </c>
      <c r="L21" s="84">
        <f t="array" ref="L21">IF(MapWeight!$L$6&lt;&gt;0, SUMPRODUCT(TRANSPOSE(CLO_Attainments!C21:CH21),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84.67741935</v>
      </c>
      <c r="M21" s="84">
        <f t="array" ref="M21">IF(MapWeight!$M$6&lt;&gt;0, SUMPRODUCT(TRANSPOSE(CLO_Attainments!C21:CH21),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83.27027027</v>
      </c>
    </row>
    <row r="22">
      <c r="A22" s="47" t="s">
        <v>99</v>
      </c>
      <c r="B22" s="47" t="s">
        <v>100</v>
      </c>
      <c r="C22" s="84">
        <f t="array" ref="C22">IF(MapWeight!$C$6&lt;&gt;0, SUMPRODUCT(TRANSPOSE(CLO_Attainments!C22:CH22),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77.0625</v>
      </c>
      <c r="D22" s="84">
        <f t="array" ref="D22">IF(MapWeight!$D$6&lt;&gt;0, SUMPRODUCT(TRANSPOSE(CLO_Attainments!C22:CH22),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80.15384615</v>
      </c>
      <c r="E22" s="84">
        <f t="array" ref="E22">IF(MapWeight!$E$6&lt;&gt;0, SUMPRODUCT(TRANSPOSE(CLO_Attainments!C22:CH22),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78.31428571</v>
      </c>
      <c r="F22" s="84">
        <f t="array" ref="F22">IF(MapWeight!$F$6&lt;&gt;0, SUMPRODUCT(TRANSPOSE(CLO_Attainments!C22:CH22),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79.40425532</v>
      </c>
      <c r="G22" s="84">
        <f t="array" ref="G22">IF(MapWeight!$G$6&lt;&gt;0, SUMPRODUCT(TRANSPOSE(CLO_Attainments!C22:CH22),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77.34615385</v>
      </c>
      <c r="H22" s="84">
        <f t="array" ref="H22">IF(MapWeight!$H$6&lt;&gt;0, SUMPRODUCT(TRANSPOSE(CLO_Attainments!C22:CH22),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79.11666667</v>
      </c>
      <c r="I22" s="84">
        <f t="array" ref="I22">IF(MapWeight!$I$6&lt;&gt;0, SUMPRODUCT(TRANSPOSE(CLO_Attainments!C22:CH22),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79.575</v>
      </c>
      <c r="J22" s="84">
        <f t="array" ref="J22">IF(MapWeight!$J$6&lt;&gt;0, SUMPRODUCT(TRANSPOSE(CLO_Attainments!C22:CH22),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80.86111111</v>
      </c>
      <c r="K22" s="84">
        <f t="array" ref="K22">IF(MapWeight!$K$6&lt;&gt;0, SUMPRODUCT(TRANSPOSE(CLO_Attainments!C22:CH22),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79.6</v>
      </c>
      <c r="L22" s="84">
        <f t="array" ref="L22">IF(MapWeight!$L$6&lt;&gt;0, SUMPRODUCT(TRANSPOSE(CLO_Attainments!C22:CH22),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79.35483871</v>
      </c>
      <c r="M22" s="84">
        <f t="array" ref="M22">IF(MapWeight!$M$6&lt;&gt;0, SUMPRODUCT(TRANSPOSE(CLO_Attainments!C22:CH22),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79.89189189</v>
      </c>
    </row>
    <row r="23">
      <c r="A23" s="47" t="s">
        <v>101</v>
      </c>
      <c r="B23" s="47" t="s">
        <v>102</v>
      </c>
      <c r="C23" s="84">
        <f t="array" ref="C23">IF(MapWeight!$C$6&lt;&gt;0, SUMPRODUCT(TRANSPOSE(CLO_Attainments!C23:CH23),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84.08333333</v>
      </c>
      <c r="D23" s="84">
        <f t="array" ref="D23">IF(MapWeight!$D$6&lt;&gt;0, SUMPRODUCT(TRANSPOSE(CLO_Attainments!C23:CH23),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84.63461538</v>
      </c>
      <c r="E23" s="84">
        <f t="array" ref="E23">IF(MapWeight!$E$6&lt;&gt;0, SUMPRODUCT(TRANSPOSE(CLO_Attainments!C23:CH23),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82.35714286</v>
      </c>
      <c r="F23" s="84">
        <f t="array" ref="F23">IF(MapWeight!$F$6&lt;&gt;0, SUMPRODUCT(TRANSPOSE(CLO_Attainments!C23:CH23),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82.89361702</v>
      </c>
      <c r="G23" s="84">
        <f t="array" ref="G23">IF(MapWeight!$G$6&lt;&gt;0, SUMPRODUCT(TRANSPOSE(CLO_Attainments!C23:CH23),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82.32692308</v>
      </c>
      <c r="H23" s="84">
        <f t="array" ref="H23">IF(MapWeight!$H$6&lt;&gt;0, SUMPRODUCT(TRANSPOSE(CLO_Attainments!C23:CH23),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84.05</v>
      </c>
      <c r="I23" s="84">
        <f t="array" ref="I23">IF(MapWeight!$I$6&lt;&gt;0, SUMPRODUCT(TRANSPOSE(CLO_Attainments!C23:CH23),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82.15</v>
      </c>
      <c r="J23" s="84">
        <f t="array" ref="J23">IF(MapWeight!$J$6&lt;&gt;0, SUMPRODUCT(TRANSPOSE(CLO_Attainments!C23:CH23),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87.55555556</v>
      </c>
      <c r="K23" s="84">
        <f t="array" ref="K23">IF(MapWeight!$K$6&lt;&gt;0, SUMPRODUCT(TRANSPOSE(CLO_Attainments!C23:CH23),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83.34285714</v>
      </c>
      <c r="L23" s="84">
        <f t="array" ref="L23">IF(MapWeight!$L$6&lt;&gt;0, SUMPRODUCT(TRANSPOSE(CLO_Attainments!C23:CH23),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86.25806452</v>
      </c>
      <c r="M23" s="84">
        <f t="array" ref="M23">IF(MapWeight!$M$6&lt;&gt;0, SUMPRODUCT(TRANSPOSE(CLO_Attainments!C23:CH23),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84.32432432</v>
      </c>
    </row>
    <row r="24">
      <c r="A24" s="47" t="s">
        <v>103</v>
      </c>
      <c r="B24" s="47" t="s">
        <v>104</v>
      </c>
      <c r="C24" s="84">
        <f t="array" ref="C24">IF(MapWeight!$C$6&lt;&gt;0, SUMPRODUCT(TRANSPOSE(CLO_Attainments!C24:CH24),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78.66666667</v>
      </c>
      <c r="D24" s="84">
        <f t="array" ref="D24">IF(MapWeight!$D$6&lt;&gt;0, SUMPRODUCT(TRANSPOSE(CLO_Attainments!C24:CH24),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79.75</v>
      </c>
      <c r="E24" s="84">
        <f t="array" ref="E24">IF(MapWeight!$E$6&lt;&gt;0, SUMPRODUCT(TRANSPOSE(CLO_Attainments!C24:CH24),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76.17142857</v>
      </c>
      <c r="F24" s="84">
        <f t="array" ref="F24">IF(MapWeight!$F$6&lt;&gt;0, SUMPRODUCT(TRANSPOSE(CLO_Attainments!C24:CH24),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77.57446809</v>
      </c>
      <c r="G24" s="84">
        <f t="array" ref="G24">IF(MapWeight!$G$6&lt;&gt;0, SUMPRODUCT(TRANSPOSE(CLO_Attainments!C24:CH24),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77.23076923</v>
      </c>
      <c r="H24" s="84">
        <f t="array" ref="H24">IF(MapWeight!$H$6&lt;&gt;0, SUMPRODUCT(TRANSPOSE(CLO_Attainments!C24:CH24),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76.33333333</v>
      </c>
      <c r="I24" s="84">
        <f t="array" ref="I24">IF(MapWeight!$I$6&lt;&gt;0, SUMPRODUCT(TRANSPOSE(CLO_Attainments!C24:CH24),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78.575</v>
      </c>
      <c r="J24" s="84">
        <f t="array" ref="J24">IF(MapWeight!$J$6&lt;&gt;0, SUMPRODUCT(TRANSPOSE(CLO_Attainments!C24:CH24),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77.47222222</v>
      </c>
      <c r="K24" s="84">
        <f t="array" ref="K24">IF(MapWeight!$K$6&lt;&gt;0, SUMPRODUCT(TRANSPOSE(CLO_Attainments!C24:CH24),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79.14285714</v>
      </c>
      <c r="L24" s="84">
        <f t="array" ref="L24">IF(MapWeight!$L$6&lt;&gt;0, SUMPRODUCT(TRANSPOSE(CLO_Attainments!C24:CH24),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78.67741935</v>
      </c>
      <c r="M24" s="84">
        <f t="array" ref="M24">IF(MapWeight!$M$6&lt;&gt;0, SUMPRODUCT(TRANSPOSE(CLO_Attainments!C24:CH24),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79.18918919</v>
      </c>
    </row>
    <row r="25">
      <c r="A25" s="47" t="s">
        <v>105</v>
      </c>
      <c r="B25" s="47" t="s">
        <v>106</v>
      </c>
      <c r="C25" s="84">
        <f t="array" ref="C25">IF(MapWeight!$C$6&lt;&gt;0, SUMPRODUCT(TRANSPOSE(CLO_Attainments!C25:CH25),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75.97916667</v>
      </c>
      <c r="D25" s="84">
        <f t="array" ref="D25">IF(MapWeight!$D$6&lt;&gt;0, SUMPRODUCT(TRANSPOSE(CLO_Attainments!C25:CH25),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76.26923077</v>
      </c>
      <c r="E25" s="84">
        <f t="array" ref="E25">IF(MapWeight!$E$6&lt;&gt;0, SUMPRODUCT(TRANSPOSE(CLO_Attainments!C25:CH25),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76.91428571</v>
      </c>
      <c r="F25" s="84">
        <f t="array" ref="F25">IF(MapWeight!$F$6&lt;&gt;0, SUMPRODUCT(TRANSPOSE(CLO_Attainments!C25:CH25),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77.0212766</v>
      </c>
      <c r="G25" s="84">
        <f t="array" ref="G25">IF(MapWeight!$G$6&lt;&gt;0, SUMPRODUCT(TRANSPOSE(CLO_Attainments!C25:CH25),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77.09615385</v>
      </c>
      <c r="H25" s="84">
        <f t="array" ref="H25">IF(MapWeight!$H$6&lt;&gt;0, SUMPRODUCT(TRANSPOSE(CLO_Attainments!C25:CH25),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79.03333333</v>
      </c>
      <c r="I25" s="84">
        <f t="array" ref="I25">IF(MapWeight!$I$6&lt;&gt;0, SUMPRODUCT(TRANSPOSE(CLO_Attainments!C25:CH25),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77.65</v>
      </c>
      <c r="J25" s="84">
        <f t="array" ref="J25">IF(MapWeight!$J$6&lt;&gt;0, SUMPRODUCT(TRANSPOSE(CLO_Attainments!C25:CH25),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73.69444444</v>
      </c>
      <c r="K25" s="84">
        <f t="array" ref="K25">IF(MapWeight!$K$6&lt;&gt;0, SUMPRODUCT(TRANSPOSE(CLO_Attainments!C25:CH25),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75.91428571</v>
      </c>
      <c r="L25" s="84">
        <f t="array" ref="L25">IF(MapWeight!$L$6&lt;&gt;0, SUMPRODUCT(TRANSPOSE(CLO_Attainments!C25:CH25),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77</v>
      </c>
      <c r="M25" s="84">
        <f t="array" ref="M25">IF(MapWeight!$M$6&lt;&gt;0, SUMPRODUCT(TRANSPOSE(CLO_Attainments!C25:CH25),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75.56756757</v>
      </c>
    </row>
    <row r="26">
      <c r="A26" s="47" t="s">
        <v>107</v>
      </c>
      <c r="B26" s="47" t="s">
        <v>108</v>
      </c>
      <c r="C26" s="84">
        <f t="array" ref="C26">IF(MapWeight!$C$6&lt;&gt;0, SUMPRODUCT(TRANSPOSE(CLO_Attainments!C26:CH26),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81.1875</v>
      </c>
      <c r="D26" s="84">
        <f t="array" ref="D26">IF(MapWeight!$D$6&lt;&gt;0, SUMPRODUCT(TRANSPOSE(CLO_Attainments!C26:CH26),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77.23076923</v>
      </c>
      <c r="E26" s="84">
        <f t="array" ref="E26">IF(MapWeight!$E$6&lt;&gt;0, SUMPRODUCT(TRANSPOSE(CLO_Attainments!C26:CH26),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75.07142857</v>
      </c>
      <c r="F26" s="84">
        <f t="array" ref="F26">IF(MapWeight!$F$6&lt;&gt;0, SUMPRODUCT(TRANSPOSE(CLO_Attainments!C26:CH26),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82.12765957</v>
      </c>
      <c r="G26" s="84">
        <f t="array" ref="G26">IF(MapWeight!$G$6&lt;&gt;0, SUMPRODUCT(TRANSPOSE(CLO_Attainments!C26:CH26),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78.84615385</v>
      </c>
      <c r="H26" s="84">
        <f t="array" ref="H26">IF(MapWeight!$H$6&lt;&gt;0, SUMPRODUCT(TRANSPOSE(CLO_Attainments!C26:CH26),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79.91666667</v>
      </c>
      <c r="I26" s="84">
        <f t="array" ref="I26">IF(MapWeight!$I$6&lt;&gt;0, SUMPRODUCT(TRANSPOSE(CLO_Attainments!C26:CH26),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79.725</v>
      </c>
      <c r="J26" s="84">
        <f t="array" ref="J26">IF(MapWeight!$J$6&lt;&gt;0, SUMPRODUCT(TRANSPOSE(CLO_Attainments!C26:CH26),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77.30555556</v>
      </c>
      <c r="K26" s="84">
        <f t="array" ref="K26">IF(MapWeight!$K$6&lt;&gt;0, SUMPRODUCT(TRANSPOSE(CLO_Attainments!C26:CH26),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81.2</v>
      </c>
      <c r="L26" s="84">
        <f t="array" ref="L26">IF(MapWeight!$L$6&lt;&gt;0, SUMPRODUCT(TRANSPOSE(CLO_Attainments!C26:CH26),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80.48387097</v>
      </c>
      <c r="M26" s="84">
        <f t="array" ref="M26">IF(MapWeight!$M$6&lt;&gt;0, SUMPRODUCT(TRANSPOSE(CLO_Attainments!C26:CH26),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79.67567568</v>
      </c>
    </row>
    <row r="27">
      <c r="A27" s="47" t="s">
        <v>109</v>
      </c>
      <c r="B27" s="47" t="s">
        <v>110</v>
      </c>
      <c r="C27" s="84">
        <f t="array" ref="C27">IF(MapWeight!$C$6&lt;&gt;0, SUMPRODUCT(TRANSPOSE(CLO_Attainments!C27:CH27),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82.125</v>
      </c>
      <c r="D27" s="84">
        <f t="array" ref="D27">IF(MapWeight!$D$6&lt;&gt;0, SUMPRODUCT(TRANSPOSE(CLO_Attainments!C27:CH27),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80.01923077</v>
      </c>
      <c r="E27" s="84">
        <f t="array" ref="E27">IF(MapWeight!$E$6&lt;&gt;0, SUMPRODUCT(TRANSPOSE(CLO_Attainments!C27:CH27),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80.8</v>
      </c>
      <c r="F27" s="84">
        <f t="array" ref="F27">IF(MapWeight!$F$6&lt;&gt;0, SUMPRODUCT(TRANSPOSE(CLO_Attainments!C27:CH27),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82.55319149</v>
      </c>
      <c r="G27" s="84">
        <f t="array" ref="G27">IF(MapWeight!$G$6&lt;&gt;0, SUMPRODUCT(TRANSPOSE(CLO_Attainments!C27:CH27),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79.15384615</v>
      </c>
      <c r="H27" s="84">
        <f t="array" ref="H27">IF(MapWeight!$H$6&lt;&gt;0, SUMPRODUCT(TRANSPOSE(CLO_Attainments!C27:CH27),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79.6</v>
      </c>
      <c r="I27" s="84">
        <f t="array" ref="I27">IF(MapWeight!$I$6&lt;&gt;0, SUMPRODUCT(TRANSPOSE(CLO_Attainments!C27:CH27),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80.4</v>
      </c>
      <c r="J27" s="84">
        <f t="array" ref="J27">IF(MapWeight!$J$6&lt;&gt;0, SUMPRODUCT(TRANSPOSE(CLO_Attainments!C27:CH27),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83.52777778</v>
      </c>
      <c r="K27" s="84">
        <f t="array" ref="K27">IF(MapWeight!$K$6&lt;&gt;0, SUMPRODUCT(TRANSPOSE(CLO_Attainments!C27:CH27),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79.02857143</v>
      </c>
      <c r="L27" s="84">
        <f t="array" ref="L27">IF(MapWeight!$L$6&lt;&gt;0, SUMPRODUCT(TRANSPOSE(CLO_Attainments!C27:CH27),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83.58064516</v>
      </c>
      <c r="M27" s="84">
        <f t="array" ref="M27">IF(MapWeight!$M$6&lt;&gt;0, SUMPRODUCT(TRANSPOSE(CLO_Attainments!C27:CH27),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82.62162162</v>
      </c>
    </row>
    <row r="28">
      <c r="A28" s="47" t="s">
        <v>111</v>
      </c>
      <c r="B28" s="47" t="s">
        <v>112</v>
      </c>
      <c r="C28" s="84">
        <f t="array" ref="C28">IF(MapWeight!$C$6&lt;&gt;0, SUMPRODUCT(TRANSPOSE(CLO_Attainments!C28:CH28),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79.20833333</v>
      </c>
      <c r="D28" s="84">
        <f t="array" ref="D28">IF(MapWeight!$D$6&lt;&gt;0, SUMPRODUCT(TRANSPOSE(CLO_Attainments!C28:CH28),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77.09615385</v>
      </c>
      <c r="E28" s="84">
        <f t="array" ref="E28">IF(MapWeight!$E$6&lt;&gt;0, SUMPRODUCT(TRANSPOSE(CLO_Attainments!C28:CH28),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77.08571429</v>
      </c>
      <c r="F28" s="84">
        <f t="array" ref="F28">IF(MapWeight!$F$6&lt;&gt;0, SUMPRODUCT(TRANSPOSE(CLO_Attainments!C28:CH28),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80.21276596</v>
      </c>
      <c r="G28" s="84">
        <f t="array" ref="G28">IF(MapWeight!$G$6&lt;&gt;0, SUMPRODUCT(TRANSPOSE(CLO_Attainments!C28:CH28),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81.84615385</v>
      </c>
      <c r="H28" s="84">
        <f t="array" ref="H28">IF(MapWeight!$H$6&lt;&gt;0, SUMPRODUCT(TRANSPOSE(CLO_Attainments!C28:CH28),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78.65</v>
      </c>
      <c r="I28" s="84">
        <f t="array" ref="I28">IF(MapWeight!$I$6&lt;&gt;0, SUMPRODUCT(TRANSPOSE(CLO_Attainments!C28:CH28),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79.5</v>
      </c>
      <c r="J28" s="84">
        <f t="array" ref="J28">IF(MapWeight!$J$6&lt;&gt;0, SUMPRODUCT(TRANSPOSE(CLO_Attainments!C28:CH28),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80.11111111</v>
      </c>
      <c r="K28" s="84">
        <f t="array" ref="K28">IF(MapWeight!$K$6&lt;&gt;0, SUMPRODUCT(TRANSPOSE(CLO_Attainments!C28:CH28),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79.05714286</v>
      </c>
      <c r="L28" s="84">
        <f t="array" ref="L28">IF(MapWeight!$L$6&lt;&gt;0, SUMPRODUCT(TRANSPOSE(CLO_Attainments!C28:CH28),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76.22580645</v>
      </c>
      <c r="M28" s="84">
        <f t="array" ref="M28">IF(MapWeight!$M$6&lt;&gt;0, SUMPRODUCT(TRANSPOSE(CLO_Attainments!C28:CH28),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75.72972973</v>
      </c>
    </row>
    <row r="29">
      <c r="A29" s="47" t="s">
        <v>113</v>
      </c>
      <c r="B29" s="47" t="s">
        <v>114</v>
      </c>
      <c r="C29" s="84">
        <f t="array" ref="C29">IF(MapWeight!$C$6&lt;&gt;0, SUMPRODUCT(TRANSPOSE(CLO_Attainments!C29:CH29),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75.77083333</v>
      </c>
      <c r="D29" s="84">
        <f t="array" ref="D29">IF(MapWeight!$D$6&lt;&gt;0, SUMPRODUCT(TRANSPOSE(CLO_Attainments!C29:CH29),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75.40384615</v>
      </c>
      <c r="E29" s="84">
        <f t="array" ref="E29">IF(MapWeight!$E$6&lt;&gt;0, SUMPRODUCT(TRANSPOSE(CLO_Attainments!C29:CH29),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80.38571429</v>
      </c>
      <c r="F29" s="84">
        <f t="array" ref="F29">IF(MapWeight!$F$6&lt;&gt;0, SUMPRODUCT(TRANSPOSE(CLO_Attainments!C29:CH29),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78.25531915</v>
      </c>
      <c r="G29" s="84">
        <f t="array" ref="G29">IF(MapWeight!$G$6&lt;&gt;0, SUMPRODUCT(TRANSPOSE(CLO_Attainments!C29:CH29),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75.55769231</v>
      </c>
      <c r="H29" s="84">
        <f t="array" ref="H29">IF(MapWeight!$H$6&lt;&gt;0, SUMPRODUCT(TRANSPOSE(CLO_Attainments!C29:CH29),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80.81666667</v>
      </c>
      <c r="I29" s="84">
        <f t="array" ref="I29">IF(MapWeight!$I$6&lt;&gt;0, SUMPRODUCT(TRANSPOSE(CLO_Attainments!C29:CH29),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77.25</v>
      </c>
      <c r="J29" s="84">
        <f t="array" ref="J29">IF(MapWeight!$J$6&lt;&gt;0, SUMPRODUCT(TRANSPOSE(CLO_Attainments!C29:CH29),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76.05555556</v>
      </c>
      <c r="K29" s="84">
        <f t="array" ref="K29">IF(MapWeight!$K$6&lt;&gt;0, SUMPRODUCT(TRANSPOSE(CLO_Attainments!C29:CH29),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77.94285714</v>
      </c>
      <c r="L29" s="84">
        <f t="array" ref="L29">IF(MapWeight!$L$6&lt;&gt;0, SUMPRODUCT(TRANSPOSE(CLO_Attainments!C29:CH29),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76.70967742</v>
      </c>
      <c r="M29" s="84">
        <f t="array" ref="M29">IF(MapWeight!$M$6&lt;&gt;0, SUMPRODUCT(TRANSPOSE(CLO_Attainments!C29:CH29),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78.32432432</v>
      </c>
    </row>
    <row r="30">
      <c r="A30" s="47" t="s">
        <v>115</v>
      </c>
      <c r="B30" s="47" t="s">
        <v>116</v>
      </c>
      <c r="C30" s="84">
        <f t="array" ref="C30">IF(MapWeight!$C$6&lt;&gt;0, SUMPRODUCT(TRANSPOSE(CLO_Attainments!C30:CH30),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78.97916667</v>
      </c>
      <c r="D30" s="84">
        <f t="array" ref="D30">IF(MapWeight!$D$6&lt;&gt;0, SUMPRODUCT(TRANSPOSE(CLO_Attainments!C30:CH30),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77.98076923</v>
      </c>
      <c r="E30" s="84">
        <f t="array" ref="E30">IF(MapWeight!$E$6&lt;&gt;0, SUMPRODUCT(TRANSPOSE(CLO_Attainments!C30:CH30),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79.94285714</v>
      </c>
      <c r="F30" s="84">
        <f t="array" ref="F30">IF(MapWeight!$F$6&lt;&gt;0, SUMPRODUCT(TRANSPOSE(CLO_Attainments!C30:CH30),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76.31914894</v>
      </c>
      <c r="G30" s="84">
        <f t="array" ref="G30">IF(MapWeight!$G$6&lt;&gt;0, SUMPRODUCT(TRANSPOSE(CLO_Attainments!C30:CH30),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78.03846154</v>
      </c>
      <c r="H30" s="84">
        <f t="array" ref="H30">IF(MapWeight!$H$6&lt;&gt;0, SUMPRODUCT(TRANSPOSE(CLO_Attainments!C30:CH30),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78.16666667</v>
      </c>
      <c r="I30" s="84">
        <f t="array" ref="I30">IF(MapWeight!$I$6&lt;&gt;0, SUMPRODUCT(TRANSPOSE(CLO_Attainments!C30:CH30),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81.35</v>
      </c>
      <c r="J30" s="84">
        <f t="array" ref="J30">IF(MapWeight!$J$6&lt;&gt;0, SUMPRODUCT(TRANSPOSE(CLO_Attainments!C30:CH30),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79.08333333</v>
      </c>
      <c r="K30" s="84">
        <f t="array" ref="K30">IF(MapWeight!$K$6&lt;&gt;0, SUMPRODUCT(TRANSPOSE(CLO_Attainments!C30:CH30),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79.48571429</v>
      </c>
      <c r="L30" s="84">
        <f t="array" ref="L30">IF(MapWeight!$L$6&lt;&gt;0, SUMPRODUCT(TRANSPOSE(CLO_Attainments!C30:CH30),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76.58064516</v>
      </c>
      <c r="M30" s="84">
        <f t="array" ref="M30">IF(MapWeight!$M$6&lt;&gt;0, SUMPRODUCT(TRANSPOSE(CLO_Attainments!C30:CH30),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79.37837838</v>
      </c>
    </row>
    <row r="31">
      <c r="A31" s="47" t="s">
        <v>117</v>
      </c>
      <c r="B31" s="47" t="s">
        <v>118</v>
      </c>
      <c r="C31" s="84">
        <f t="array" ref="C31">IF(MapWeight!$C$6&lt;&gt;0, SUMPRODUCT(TRANSPOSE(CLO_Attainments!C31:CH31),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76.89583333</v>
      </c>
      <c r="D31" s="84">
        <f t="array" ref="D31">IF(MapWeight!$D$6&lt;&gt;0, SUMPRODUCT(TRANSPOSE(CLO_Attainments!C31:CH31),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78.46153846</v>
      </c>
      <c r="E31" s="84">
        <f t="array" ref="E31">IF(MapWeight!$E$6&lt;&gt;0, SUMPRODUCT(TRANSPOSE(CLO_Attainments!C31:CH31),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80.37142857</v>
      </c>
      <c r="F31" s="84">
        <f t="array" ref="F31">IF(MapWeight!$F$6&lt;&gt;0, SUMPRODUCT(TRANSPOSE(CLO_Attainments!C31:CH31),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80.04255319</v>
      </c>
      <c r="G31" s="84">
        <f t="array" ref="G31">IF(MapWeight!$G$6&lt;&gt;0, SUMPRODUCT(TRANSPOSE(CLO_Attainments!C31:CH31),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76.57692308</v>
      </c>
      <c r="H31" s="84">
        <f t="array" ref="H31">IF(MapWeight!$H$6&lt;&gt;0, SUMPRODUCT(TRANSPOSE(CLO_Attainments!C31:CH31),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80.88333333</v>
      </c>
      <c r="I31" s="84">
        <f t="array" ref="I31">IF(MapWeight!$I$6&lt;&gt;0, SUMPRODUCT(TRANSPOSE(CLO_Attainments!C31:CH31),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81.275</v>
      </c>
      <c r="J31" s="84">
        <f t="array" ref="J31">IF(MapWeight!$J$6&lt;&gt;0, SUMPRODUCT(TRANSPOSE(CLO_Attainments!C31:CH31),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77.97222222</v>
      </c>
      <c r="K31" s="84">
        <f t="array" ref="K31">IF(MapWeight!$K$6&lt;&gt;0, SUMPRODUCT(TRANSPOSE(CLO_Attainments!C31:CH31),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79.37142857</v>
      </c>
      <c r="L31" s="84">
        <f t="array" ref="L31">IF(MapWeight!$L$6&lt;&gt;0, SUMPRODUCT(TRANSPOSE(CLO_Attainments!C31:CH31),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80.70967742</v>
      </c>
      <c r="M31" s="84">
        <f t="array" ref="M31">IF(MapWeight!$M$6&lt;&gt;0, SUMPRODUCT(TRANSPOSE(CLO_Attainments!C31:CH31),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80.21621622</v>
      </c>
    </row>
    <row r="32">
      <c r="A32" s="47" t="s">
        <v>120</v>
      </c>
      <c r="B32" s="47" t="s">
        <v>121</v>
      </c>
      <c r="C32" s="84">
        <f t="array" ref="C32">IF(MapWeight!$C$6&lt;&gt;0, SUMPRODUCT(TRANSPOSE(CLO_Attainments!C32:CH32),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82.16666667</v>
      </c>
      <c r="D32" s="84">
        <f t="array" ref="D32">IF(MapWeight!$D$6&lt;&gt;0, SUMPRODUCT(TRANSPOSE(CLO_Attainments!C32:CH32),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83.11538462</v>
      </c>
      <c r="E32" s="84">
        <f t="array" ref="E32">IF(MapWeight!$E$6&lt;&gt;0, SUMPRODUCT(TRANSPOSE(CLO_Attainments!C32:CH32),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82.85714286</v>
      </c>
      <c r="F32" s="84">
        <f t="array" ref="F32">IF(MapWeight!$F$6&lt;&gt;0, SUMPRODUCT(TRANSPOSE(CLO_Attainments!C32:CH32),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83.36170213</v>
      </c>
      <c r="G32" s="84">
        <f t="array" ref="G32">IF(MapWeight!$G$6&lt;&gt;0, SUMPRODUCT(TRANSPOSE(CLO_Attainments!C32:CH32),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82.13461538</v>
      </c>
      <c r="H32" s="84">
        <f t="array" ref="H32">IF(MapWeight!$H$6&lt;&gt;0, SUMPRODUCT(TRANSPOSE(CLO_Attainments!C32:CH32),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82.7</v>
      </c>
      <c r="I32" s="84">
        <f t="array" ref="I32">IF(MapWeight!$I$6&lt;&gt;0, SUMPRODUCT(TRANSPOSE(CLO_Attainments!C32:CH32),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83.75</v>
      </c>
      <c r="J32" s="84">
        <f t="array" ref="J32">IF(MapWeight!$J$6&lt;&gt;0, SUMPRODUCT(TRANSPOSE(CLO_Attainments!C32:CH32),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81</v>
      </c>
      <c r="K32" s="84">
        <f t="array" ref="K32">IF(MapWeight!$K$6&lt;&gt;0, SUMPRODUCT(TRANSPOSE(CLO_Attainments!C32:CH32),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83.48571429</v>
      </c>
      <c r="L32" s="84">
        <f t="array" ref="L32">IF(MapWeight!$L$6&lt;&gt;0, SUMPRODUCT(TRANSPOSE(CLO_Attainments!C32:CH32),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81.58064516</v>
      </c>
      <c r="M32" s="84">
        <f t="array" ref="M32">IF(MapWeight!$M$6&lt;&gt;0, SUMPRODUCT(TRANSPOSE(CLO_Attainments!C32:CH32),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79.13513514</v>
      </c>
    </row>
    <row r="33">
      <c r="A33" s="47" t="s">
        <v>122</v>
      </c>
      <c r="B33" s="47" t="s">
        <v>123</v>
      </c>
      <c r="C33" s="84">
        <f t="array" ref="C33">IF(MapWeight!$C$6&lt;&gt;0, SUMPRODUCT(TRANSPOSE(CLO_Attainments!C33:CH33),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79.125</v>
      </c>
      <c r="D33" s="84">
        <f t="array" ref="D33">IF(MapWeight!$D$6&lt;&gt;0, SUMPRODUCT(TRANSPOSE(CLO_Attainments!C33:CH33),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80.55769231</v>
      </c>
      <c r="E33" s="84">
        <f t="array" ref="E33">IF(MapWeight!$E$6&lt;&gt;0, SUMPRODUCT(TRANSPOSE(CLO_Attainments!C33:CH33),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82.45714286</v>
      </c>
      <c r="F33" s="84">
        <f t="array" ref="F33">IF(MapWeight!$F$6&lt;&gt;0, SUMPRODUCT(TRANSPOSE(CLO_Attainments!C33:CH33),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81.34042553</v>
      </c>
      <c r="G33" s="84">
        <f t="array" ref="G33">IF(MapWeight!$G$6&lt;&gt;0, SUMPRODUCT(TRANSPOSE(CLO_Attainments!C33:CH33),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81.36538462</v>
      </c>
      <c r="H33" s="84">
        <f t="array" ref="H33">IF(MapWeight!$H$6&lt;&gt;0, SUMPRODUCT(TRANSPOSE(CLO_Attainments!C33:CH33),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82.86666667</v>
      </c>
      <c r="I33" s="84">
        <f t="array" ref="I33">IF(MapWeight!$I$6&lt;&gt;0, SUMPRODUCT(TRANSPOSE(CLO_Attainments!C33:CH33),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83.525</v>
      </c>
      <c r="J33" s="84">
        <f t="array" ref="J33">IF(MapWeight!$J$6&lt;&gt;0, SUMPRODUCT(TRANSPOSE(CLO_Attainments!C33:CH33),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79.16666667</v>
      </c>
      <c r="K33" s="84">
        <f t="array" ref="K33">IF(MapWeight!$K$6&lt;&gt;0, SUMPRODUCT(TRANSPOSE(CLO_Attainments!C33:CH33),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83.31428571</v>
      </c>
      <c r="L33" s="84">
        <f t="array" ref="L33">IF(MapWeight!$L$6&lt;&gt;0, SUMPRODUCT(TRANSPOSE(CLO_Attainments!C33:CH33),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81.64516129</v>
      </c>
      <c r="M33" s="84">
        <f t="array" ref="M33">IF(MapWeight!$M$6&lt;&gt;0, SUMPRODUCT(TRANSPOSE(CLO_Attainments!C33:CH33),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82.40540541</v>
      </c>
    </row>
    <row r="34">
      <c r="A34" s="47" t="s">
        <v>124</v>
      </c>
      <c r="B34" s="47" t="s">
        <v>125</v>
      </c>
      <c r="C34" s="84">
        <f t="array" ref="C34">IF(MapWeight!$C$6&lt;&gt;0, SUMPRODUCT(TRANSPOSE(CLO_Attainments!C34:CH34),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80.0625</v>
      </c>
      <c r="D34" s="84">
        <f t="array" ref="D34">IF(MapWeight!$D$6&lt;&gt;0, SUMPRODUCT(TRANSPOSE(CLO_Attainments!C34:CH34),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82.30769231</v>
      </c>
      <c r="E34" s="84">
        <f t="array" ref="E34">IF(MapWeight!$E$6&lt;&gt;0, SUMPRODUCT(TRANSPOSE(CLO_Attainments!C34:CH34),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79.72857143</v>
      </c>
      <c r="F34" s="84">
        <f t="array" ref="F34">IF(MapWeight!$F$6&lt;&gt;0, SUMPRODUCT(TRANSPOSE(CLO_Attainments!C34:CH34),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82.4893617</v>
      </c>
      <c r="G34" s="84">
        <f t="array" ref="G34">IF(MapWeight!$G$6&lt;&gt;0, SUMPRODUCT(TRANSPOSE(CLO_Attainments!C34:CH34),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79.94230769</v>
      </c>
      <c r="H34" s="84">
        <f t="array" ref="H34">IF(MapWeight!$H$6&lt;&gt;0, SUMPRODUCT(TRANSPOSE(CLO_Attainments!C34:CH34),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78.06666667</v>
      </c>
      <c r="I34" s="84">
        <f t="array" ref="I34">IF(MapWeight!$I$6&lt;&gt;0, SUMPRODUCT(TRANSPOSE(CLO_Attainments!C34:CH34),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79.15</v>
      </c>
      <c r="J34" s="84">
        <f t="array" ref="J34">IF(MapWeight!$J$6&lt;&gt;0, SUMPRODUCT(TRANSPOSE(CLO_Attainments!C34:CH34),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82.75</v>
      </c>
      <c r="K34" s="84">
        <f t="array" ref="K34">IF(MapWeight!$K$6&lt;&gt;0, SUMPRODUCT(TRANSPOSE(CLO_Attainments!C34:CH34),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81.51428571</v>
      </c>
      <c r="L34" s="84">
        <f t="array" ref="L34">IF(MapWeight!$L$6&lt;&gt;0, SUMPRODUCT(TRANSPOSE(CLO_Attainments!C34:CH34),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82.67741935</v>
      </c>
      <c r="M34" s="84">
        <f t="array" ref="M34">IF(MapWeight!$M$6&lt;&gt;0, SUMPRODUCT(TRANSPOSE(CLO_Attainments!C34:CH34),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83.78378378</v>
      </c>
    </row>
    <row r="35">
      <c r="A35" s="47" t="s">
        <v>126</v>
      </c>
      <c r="B35" s="47" t="s">
        <v>127</v>
      </c>
      <c r="C35" s="84">
        <f t="array" ref="C35">IF(MapWeight!$C$6&lt;&gt;0, SUMPRODUCT(TRANSPOSE(CLO_Attainments!C35:CH35),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73</v>
      </c>
      <c r="D35" s="84">
        <f t="array" ref="D35">IF(MapWeight!$D$6&lt;&gt;0, SUMPRODUCT(TRANSPOSE(CLO_Attainments!C35:CH35),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75.40384615</v>
      </c>
      <c r="E35" s="84">
        <f t="array" ref="E35">IF(MapWeight!$E$6&lt;&gt;0, SUMPRODUCT(TRANSPOSE(CLO_Attainments!C35:CH35),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75.87142857</v>
      </c>
      <c r="F35" s="84">
        <f t="array" ref="F35">IF(MapWeight!$F$6&lt;&gt;0, SUMPRODUCT(TRANSPOSE(CLO_Attainments!C35:CH35),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74.08510638</v>
      </c>
      <c r="G35" s="84">
        <f t="array" ref="G35">IF(MapWeight!$G$6&lt;&gt;0, SUMPRODUCT(TRANSPOSE(CLO_Attainments!C35:CH35),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75.92307692</v>
      </c>
      <c r="H35" s="84">
        <f t="array" ref="H35">IF(MapWeight!$H$6&lt;&gt;0, SUMPRODUCT(TRANSPOSE(CLO_Attainments!C35:CH35),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76.15</v>
      </c>
      <c r="I35" s="84">
        <f t="array" ref="I35">IF(MapWeight!$I$6&lt;&gt;0, SUMPRODUCT(TRANSPOSE(CLO_Attainments!C35:CH35),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74.25</v>
      </c>
      <c r="J35" s="84">
        <f t="array" ref="J35">IF(MapWeight!$J$6&lt;&gt;0, SUMPRODUCT(TRANSPOSE(CLO_Attainments!C35:CH35),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72.22222222</v>
      </c>
      <c r="K35" s="84">
        <f t="array" ref="K35">IF(MapWeight!$K$6&lt;&gt;0, SUMPRODUCT(TRANSPOSE(CLO_Attainments!C35:CH35),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73.31428571</v>
      </c>
      <c r="L35" s="84">
        <f t="array" ref="L35">IF(MapWeight!$L$6&lt;&gt;0, SUMPRODUCT(TRANSPOSE(CLO_Attainments!C35:CH35),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71.58064516</v>
      </c>
      <c r="M35" s="84">
        <f t="array" ref="M35">IF(MapWeight!$M$6&lt;&gt;0, SUMPRODUCT(TRANSPOSE(CLO_Attainments!C35:CH35),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70.24324324</v>
      </c>
    </row>
    <row r="36">
      <c r="A36" s="47" t="s">
        <v>128</v>
      </c>
      <c r="B36" s="47" t="s">
        <v>129</v>
      </c>
      <c r="C36" s="84">
        <f t="array" ref="C36">IF(MapWeight!$C$6&lt;&gt;0, SUMPRODUCT(TRANSPOSE(CLO_Attainments!C36:CH36),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79.625</v>
      </c>
      <c r="D36" s="84">
        <f t="array" ref="D36">IF(MapWeight!$D$6&lt;&gt;0, SUMPRODUCT(TRANSPOSE(CLO_Attainments!C36:CH36),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84.28846154</v>
      </c>
      <c r="E36" s="84">
        <f t="array" ref="E36">IF(MapWeight!$E$6&lt;&gt;0, SUMPRODUCT(TRANSPOSE(CLO_Attainments!C36:CH36),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78.68571429</v>
      </c>
      <c r="F36" s="84">
        <f t="array" ref="F36">IF(MapWeight!$F$6&lt;&gt;0, SUMPRODUCT(TRANSPOSE(CLO_Attainments!C36:CH36),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82.29787234</v>
      </c>
      <c r="G36" s="84">
        <f t="array" ref="G36">IF(MapWeight!$G$6&lt;&gt;0, SUMPRODUCT(TRANSPOSE(CLO_Attainments!C36:CH36),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82.65384615</v>
      </c>
      <c r="H36" s="84">
        <f t="array" ref="H36">IF(MapWeight!$H$6&lt;&gt;0, SUMPRODUCT(TRANSPOSE(CLO_Attainments!C36:CH36),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81.25</v>
      </c>
      <c r="I36" s="84">
        <f t="array" ref="I36">IF(MapWeight!$I$6&lt;&gt;0, SUMPRODUCT(TRANSPOSE(CLO_Attainments!C36:CH36),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81.025</v>
      </c>
      <c r="J36" s="84">
        <f t="array" ref="J36">IF(MapWeight!$J$6&lt;&gt;0, SUMPRODUCT(TRANSPOSE(CLO_Attainments!C36:CH36),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83.27777778</v>
      </c>
      <c r="K36" s="84">
        <f t="array" ref="K36">IF(MapWeight!$K$6&lt;&gt;0, SUMPRODUCT(TRANSPOSE(CLO_Attainments!C36:CH36),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82.31428571</v>
      </c>
      <c r="L36" s="84">
        <f t="array" ref="L36">IF(MapWeight!$L$6&lt;&gt;0, SUMPRODUCT(TRANSPOSE(CLO_Attainments!C36:CH36),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81.06451613</v>
      </c>
      <c r="M36" s="84">
        <f t="array" ref="M36">IF(MapWeight!$M$6&lt;&gt;0, SUMPRODUCT(TRANSPOSE(CLO_Attainments!C36:CH36),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81.51351351</v>
      </c>
    </row>
    <row r="37">
      <c r="A37" s="47" t="s">
        <v>130</v>
      </c>
      <c r="B37" s="47" t="s">
        <v>131</v>
      </c>
      <c r="C37" s="84">
        <f t="array" ref="C37">IF(MapWeight!$C$6&lt;&gt;0, SUMPRODUCT(TRANSPOSE(CLO_Attainments!C37:CH37),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79.8125</v>
      </c>
      <c r="D37" s="84">
        <f t="array" ref="D37">IF(MapWeight!$D$6&lt;&gt;0, SUMPRODUCT(TRANSPOSE(CLO_Attainments!C37:CH37),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77.86538462</v>
      </c>
      <c r="E37" s="84">
        <f t="array" ref="E37">IF(MapWeight!$E$6&lt;&gt;0, SUMPRODUCT(TRANSPOSE(CLO_Attainments!C37:CH37),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77.24285714</v>
      </c>
      <c r="F37" s="84">
        <f t="array" ref="F37">IF(MapWeight!$F$6&lt;&gt;0, SUMPRODUCT(TRANSPOSE(CLO_Attainments!C37:CH37),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75.93617021</v>
      </c>
      <c r="G37" s="84">
        <f t="array" ref="G37">IF(MapWeight!$G$6&lt;&gt;0, SUMPRODUCT(TRANSPOSE(CLO_Attainments!C37:CH37),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76.94230769</v>
      </c>
      <c r="H37" s="84">
        <f t="array" ref="H37">IF(MapWeight!$H$6&lt;&gt;0, SUMPRODUCT(TRANSPOSE(CLO_Attainments!C37:CH37),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76.18333333</v>
      </c>
      <c r="I37" s="84">
        <f t="array" ref="I37">IF(MapWeight!$I$6&lt;&gt;0, SUMPRODUCT(TRANSPOSE(CLO_Attainments!C37:CH37),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75.925</v>
      </c>
      <c r="J37" s="84">
        <f t="array" ref="J37">IF(MapWeight!$J$6&lt;&gt;0, SUMPRODUCT(TRANSPOSE(CLO_Attainments!C37:CH37),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78.38888889</v>
      </c>
      <c r="K37" s="84">
        <f t="array" ref="K37">IF(MapWeight!$K$6&lt;&gt;0, SUMPRODUCT(TRANSPOSE(CLO_Attainments!C37:CH37),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78.71428571</v>
      </c>
      <c r="L37" s="84">
        <f t="array" ref="L37">IF(MapWeight!$L$6&lt;&gt;0, SUMPRODUCT(TRANSPOSE(CLO_Attainments!C37:CH37),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75.03225806</v>
      </c>
      <c r="M37" s="84">
        <f t="array" ref="M37">IF(MapWeight!$M$6&lt;&gt;0, SUMPRODUCT(TRANSPOSE(CLO_Attainments!C37:CH37),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75.13513514</v>
      </c>
    </row>
    <row r="38">
      <c r="A38" s="47" t="s">
        <v>132</v>
      </c>
      <c r="B38" s="47" t="s">
        <v>133</v>
      </c>
      <c r="C38" s="84">
        <f t="array" ref="C38">IF(MapWeight!$C$6&lt;&gt;0, SUMPRODUCT(TRANSPOSE(CLO_Attainments!C38:CH38),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80.70833333</v>
      </c>
      <c r="D38" s="84">
        <f t="array" ref="D38">IF(MapWeight!$D$6&lt;&gt;0, SUMPRODUCT(TRANSPOSE(CLO_Attainments!C38:CH38),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82.44230769</v>
      </c>
      <c r="E38" s="84">
        <f t="array" ref="E38">IF(MapWeight!$E$6&lt;&gt;0, SUMPRODUCT(TRANSPOSE(CLO_Attainments!C38:CH38),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78</v>
      </c>
      <c r="F38" s="84">
        <f t="array" ref="F38">IF(MapWeight!$F$6&lt;&gt;0, SUMPRODUCT(TRANSPOSE(CLO_Attainments!C38:CH38),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80.80851064</v>
      </c>
      <c r="G38" s="84">
        <f t="array" ref="G38">IF(MapWeight!$G$6&lt;&gt;0, SUMPRODUCT(TRANSPOSE(CLO_Attainments!C38:CH38),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80.90384615</v>
      </c>
      <c r="H38" s="84">
        <f t="array" ref="H38">IF(MapWeight!$H$6&lt;&gt;0, SUMPRODUCT(TRANSPOSE(CLO_Attainments!C38:CH38),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79.06666667</v>
      </c>
      <c r="I38" s="84">
        <f t="array" ref="I38">IF(MapWeight!$I$6&lt;&gt;0, SUMPRODUCT(TRANSPOSE(CLO_Attainments!C38:CH38),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81.35</v>
      </c>
      <c r="J38" s="84">
        <f t="array" ref="J38">IF(MapWeight!$J$6&lt;&gt;0, SUMPRODUCT(TRANSPOSE(CLO_Attainments!C38:CH38),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83.72222222</v>
      </c>
      <c r="K38" s="84">
        <f t="array" ref="K38">IF(MapWeight!$K$6&lt;&gt;0, SUMPRODUCT(TRANSPOSE(CLO_Attainments!C38:CH38),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78.14285714</v>
      </c>
      <c r="L38" s="84">
        <f t="array" ref="L38">IF(MapWeight!$L$6&lt;&gt;0, SUMPRODUCT(TRANSPOSE(CLO_Attainments!C38:CH38),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83.64516129</v>
      </c>
      <c r="M38" s="84">
        <f t="array" ref="M38">IF(MapWeight!$M$6&lt;&gt;0, SUMPRODUCT(TRANSPOSE(CLO_Attainments!C38:CH38),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83.05405405</v>
      </c>
    </row>
    <row r="39">
      <c r="A39" s="47" t="s">
        <v>134</v>
      </c>
      <c r="B39" s="47" t="s">
        <v>135</v>
      </c>
      <c r="C39" s="84">
        <f t="array" ref="C39">IF(MapWeight!$C$6&lt;&gt;0, SUMPRODUCT(TRANSPOSE(CLO_Attainments!C39:CH39),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81.58333333</v>
      </c>
      <c r="D39" s="84">
        <f t="array" ref="D39">IF(MapWeight!$D$6&lt;&gt;0, SUMPRODUCT(TRANSPOSE(CLO_Attainments!C39:CH39),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82.88461538</v>
      </c>
      <c r="E39" s="84">
        <f t="array" ref="E39">IF(MapWeight!$E$6&lt;&gt;0, SUMPRODUCT(TRANSPOSE(CLO_Attainments!C39:CH39),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83.52857143</v>
      </c>
      <c r="F39" s="84">
        <f t="array" ref="F39">IF(MapWeight!$F$6&lt;&gt;0, SUMPRODUCT(TRANSPOSE(CLO_Attainments!C39:CH39),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78.72340426</v>
      </c>
      <c r="G39" s="84">
        <f t="array" ref="G39">IF(MapWeight!$G$6&lt;&gt;0, SUMPRODUCT(TRANSPOSE(CLO_Attainments!C39:CH39),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78.5</v>
      </c>
      <c r="H39" s="84">
        <f t="array" ref="H39">IF(MapWeight!$H$6&lt;&gt;0, SUMPRODUCT(TRANSPOSE(CLO_Attainments!C39:CH39),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80.78333333</v>
      </c>
      <c r="I39" s="84">
        <f t="array" ref="I39">IF(MapWeight!$I$6&lt;&gt;0, SUMPRODUCT(TRANSPOSE(CLO_Attainments!C39:CH39),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78.725</v>
      </c>
      <c r="J39" s="84">
        <f t="array" ref="J39">IF(MapWeight!$J$6&lt;&gt;0, SUMPRODUCT(TRANSPOSE(CLO_Attainments!C39:CH39),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81.41666667</v>
      </c>
      <c r="K39" s="84">
        <f t="array" ref="K39">IF(MapWeight!$K$6&lt;&gt;0, SUMPRODUCT(TRANSPOSE(CLO_Attainments!C39:CH39),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79.37142857</v>
      </c>
      <c r="L39" s="84">
        <f t="array" ref="L39">IF(MapWeight!$L$6&lt;&gt;0, SUMPRODUCT(TRANSPOSE(CLO_Attainments!C39:CH39),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82.06451613</v>
      </c>
      <c r="M39" s="84">
        <f t="array" ref="M39">IF(MapWeight!$M$6&lt;&gt;0, SUMPRODUCT(TRANSPOSE(CLO_Attainments!C39:CH39),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79.72972973</v>
      </c>
    </row>
    <row r="40">
      <c r="A40" s="47" t="s">
        <v>136</v>
      </c>
      <c r="B40" s="47" t="s">
        <v>137</v>
      </c>
      <c r="C40" s="84">
        <f t="array" ref="C40">IF(MapWeight!$C$6&lt;&gt;0, SUMPRODUCT(TRANSPOSE(CLO_Attainments!C40:CH40),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77.375</v>
      </c>
      <c r="D40" s="84">
        <f t="array" ref="D40">IF(MapWeight!$D$6&lt;&gt;0, SUMPRODUCT(TRANSPOSE(CLO_Attainments!C40:CH40),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75.5</v>
      </c>
      <c r="E40" s="84">
        <f t="array" ref="E40">IF(MapWeight!$E$6&lt;&gt;0, SUMPRODUCT(TRANSPOSE(CLO_Attainments!C40:CH40),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76.07142857</v>
      </c>
      <c r="F40" s="84">
        <f t="array" ref="F40">IF(MapWeight!$F$6&lt;&gt;0, SUMPRODUCT(TRANSPOSE(CLO_Attainments!C40:CH40),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79.10638298</v>
      </c>
      <c r="G40" s="84">
        <f t="array" ref="G40">IF(MapWeight!$G$6&lt;&gt;0, SUMPRODUCT(TRANSPOSE(CLO_Attainments!C40:CH40),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75.78846154</v>
      </c>
      <c r="H40" s="84">
        <f t="array" ref="H40">IF(MapWeight!$H$6&lt;&gt;0, SUMPRODUCT(TRANSPOSE(CLO_Attainments!C40:CH40),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76.7</v>
      </c>
      <c r="I40" s="84">
        <f t="array" ref="I40">IF(MapWeight!$I$6&lt;&gt;0, SUMPRODUCT(TRANSPOSE(CLO_Attainments!C40:CH40),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78.225</v>
      </c>
      <c r="J40" s="84">
        <f t="array" ref="J40">IF(MapWeight!$J$6&lt;&gt;0, SUMPRODUCT(TRANSPOSE(CLO_Attainments!C40:CH40),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79.94444444</v>
      </c>
      <c r="K40" s="84">
        <f t="array" ref="K40">IF(MapWeight!$K$6&lt;&gt;0, SUMPRODUCT(TRANSPOSE(CLO_Attainments!C40:CH40),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79.57142857</v>
      </c>
      <c r="L40" s="84">
        <f t="array" ref="L40">IF(MapWeight!$L$6&lt;&gt;0, SUMPRODUCT(TRANSPOSE(CLO_Attainments!C40:CH40),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75.16129032</v>
      </c>
      <c r="M40" s="84">
        <f t="array" ref="M40">IF(MapWeight!$M$6&lt;&gt;0, SUMPRODUCT(TRANSPOSE(CLO_Attainments!C40:CH40),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76.13513514</v>
      </c>
    </row>
    <row r="41">
      <c r="A41" s="47" t="s">
        <v>139</v>
      </c>
      <c r="B41" s="47" t="s">
        <v>140</v>
      </c>
      <c r="C41" s="84">
        <f t="array" ref="C41">IF(MapWeight!$C$6&lt;&gt;0, SUMPRODUCT(TRANSPOSE(CLO_Attainments!C41:CH41),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82.20833333</v>
      </c>
      <c r="D41" s="84">
        <f t="array" ref="D41">IF(MapWeight!$D$6&lt;&gt;0, SUMPRODUCT(TRANSPOSE(CLO_Attainments!C41:CH41),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81.44230769</v>
      </c>
      <c r="E41" s="84">
        <f t="array" ref="E41">IF(MapWeight!$E$6&lt;&gt;0, SUMPRODUCT(TRANSPOSE(CLO_Attainments!C41:CH41),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79.71428571</v>
      </c>
      <c r="F41" s="84">
        <f t="array" ref="F41">IF(MapWeight!$F$6&lt;&gt;0, SUMPRODUCT(TRANSPOSE(CLO_Attainments!C41:CH41),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85.17021277</v>
      </c>
      <c r="G41" s="84">
        <f t="array" ref="G41">IF(MapWeight!$G$6&lt;&gt;0, SUMPRODUCT(TRANSPOSE(CLO_Attainments!C41:CH41),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82.67307692</v>
      </c>
      <c r="H41" s="84">
        <f t="array" ref="H41">IF(MapWeight!$H$6&lt;&gt;0, SUMPRODUCT(TRANSPOSE(CLO_Attainments!C41:CH41),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81.1</v>
      </c>
      <c r="I41" s="84">
        <f t="array" ref="I41">IF(MapWeight!$I$6&lt;&gt;0, SUMPRODUCT(TRANSPOSE(CLO_Attainments!C41:CH41),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81.85</v>
      </c>
      <c r="J41" s="84">
        <f t="array" ref="J41">IF(MapWeight!$J$6&lt;&gt;0, SUMPRODUCT(TRANSPOSE(CLO_Attainments!C41:CH41),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83.75</v>
      </c>
      <c r="K41" s="84">
        <f t="array" ref="K41">IF(MapWeight!$K$6&lt;&gt;0, SUMPRODUCT(TRANSPOSE(CLO_Attainments!C41:CH41),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79.22857143</v>
      </c>
      <c r="L41" s="84">
        <f t="array" ref="L41">IF(MapWeight!$L$6&lt;&gt;0, SUMPRODUCT(TRANSPOSE(CLO_Attainments!C41:CH41),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83.48387097</v>
      </c>
      <c r="M41" s="84">
        <f t="array" ref="M41">IF(MapWeight!$M$6&lt;&gt;0, SUMPRODUCT(TRANSPOSE(CLO_Attainments!C41:CH41),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84.18918919</v>
      </c>
    </row>
    <row r="42">
      <c r="A42" s="47" t="s">
        <v>141</v>
      </c>
      <c r="B42" s="47" t="s">
        <v>142</v>
      </c>
      <c r="C42" s="84">
        <f t="array" ref="C42">IF(MapWeight!$C$6&lt;&gt;0, SUMPRODUCT(TRANSPOSE(CLO_Attainments!C42:CH42),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82.45833333</v>
      </c>
      <c r="D42" s="84">
        <f t="array" ref="D42">IF(MapWeight!$D$6&lt;&gt;0, SUMPRODUCT(TRANSPOSE(CLO_Attainments!C42:CH42),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81.48076923</v>
      </c>
      <c r="E42" s="84">
        <f t="array" ref="E42">IF(MapWeight!$E$6&lt;&gt;0, SUMPRODUCT(TRANSPOSE(CLO_Attainments!C42:CH42),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79.54285714</v>
      </c>
      <c r="F42" s="84">
        <f t="array" ref="F42">IF(MapWeight!$F$6&lt;&gt;0, SUMPRODUCT(TRANSPOSE(CLO_Attainments!C42:CH42),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85.08510638</v>
      </c>
      <c r="G42" s="84">
        <f t="array" ref="G42">IF(MapWeight!$G$6&lt;&gt;0, SUMPRODUCT(TRANSPOSE(CLO_Attainments!C42:CH42),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80.30769231</v>
      </c>
      <c r="H42" s="84">
        <f t="array" ref="H42">IF(MapWeight!$H$6&lt;&gt;0, SUMPRODUCT(TRANSPOSE(CLO_Attainments!C42:CH42),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78.58333333</v>
      </c>
      <c r="I42" s="84">
        <f t="array" ref="I42">IF(MapWeight!$I$6&lt;&gt;0, SUMPRODUCT(TRANSPOSE(CLO_Attainments!C42:CH42),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84.825</v>
      </c>
      <c r="J42" s="84">
        <f t="array" ref="J42">IF(MapWeight!$J$6&lt;&gt;0, SUMPRODUCT(TRANSPOSE(CLO_Attainments!C42:CH42),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83.11111111</v>
      </c>
      <c r="K42" s="84">
        <f t="array" ref="K42">IF(MapWeight!$K$6&lt;&gt;0, SUMPRODUCT(TRANSPOSE(CLO_Attainments!C42:CH42),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84.42857143</v>
      </c>
      <c r="L42" s="84">
        <f t="array" ref="L42">IF(MapWeight!$L$6&lt;&gt;0, SUMPRODUCT(TRANSPOSE(CLO_Attainments!C42:CH42),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84.5483871</v>
      </c>
      <c r="M42" s="84">
        <f t="array" ref="M42">IF(MapWeight!$M$6&lt;&gt;0, SUMPRODUCT(TRANSPOSE(CLO_Attainments!C42:CH42),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83.78378378</v>
      </c>
    </row>
    <row r="43">
      <c r="A43" s="47" t="s">
        <v>143</v>
      </c>
      <c r="B43" s="47" t="s">
        <v>144</v>
      </c>
      <c r="C43" s="84">
        <f t="array" ref="C43">IF(MapWeight!$C$6&lt;&gt;0, SUMPRODUCT(TRANSPOSE(CLO_Attainments!C43:CH43),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77.02083333</v>
      </c>
      <c r="D43" s="84">
        <f t="array" ref="D43">IF(MapWeight!$D$6&lt;&gt;0, SUMPRODUCT(TRANSPOSE(CLO_Attainments!C43:CH43),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77.82692308</v>
      </c>
      <c r="E43" s="84">
        <f t="array" ref="E43">IF(MapWeight!$E$6&lt;&gt;0, SUMPRODUCT(TRANSPOSE(CLO_Attainments!C43:CH43),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77.17142857</v>
      </c>
      <c r="F43" s="84">
        <f t="array" ref="F43">IF(MapWeight!$F$6&lt;&gt;0, SUMPRODUCT(TRANSPOSE(CLO_Attainments!C43:CH43),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75.5106383</v>
      </c>
      <c r="G43" s="84">
        <f t="array" ref="G43">IF(MapWeight!$G$6&lt;&gt;0, SUMPRODUCT(TRANSPOSE(CLO_Attainments!C43:CH43),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79.69230769</v>
      </c>
      <c r="H43" s="84">
        <f t="array" ref="H43">IF(MapWeight!$H$6&lt;&gt;0, SUMPRODUCT(TRANSPOSE(CLO_Attainments!C43:CH43),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76.11666667</v>
      </c>
      <c r="I43" s="84">
        <f t="array" ref="I43">IF(MapWeight!$I$6&lt;&gt;0, SUMPRODUCT(TRANSPOSE(CLO_Attainments!C43:CH43),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73.4</v>
      </c>
      <c r="J43" s="84">
        <f t="array" ref="J43">IF(MapWeight!$J$6&lt;&gt;0, SUMPRODUCT(TRANSPOSE(CLO_Attainments!C43:CH43),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76.88888889</v>
      </c>
      <c r="K43" s="84">
        <f t="array" ref="K43">IF(MapWeight!$K$6&lt;&gt;0, SUMPRODUCT(TRANSPOSE(CLO_Attainments!C43:CH43),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73.42857143</v>
      </c>
      <c r="L43" s="84">
        <f t="array" ref="L43">IF(MapWeight!$L$6&lt;&gt;0, SUMPRODUCT(TRANSPOSE(CLO_Attainments!C43:CH43),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75.48387097</v>
      </c>
      <c r="M43" s="84">
        <f t="array" ref="M43">IF(MapWeight!$M$6&lt;&gt;0, SUMPRODUCT(TRANSPOSE(CLO_Attainments!C43:CH43),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77.40540541</v>
      </c>
    </row>
    <row r="44">
      <c r="A44" s="47" t="s">
        <v>145</v>
      </c>
      <c r="B44" s="47" t="s">
        <v>146</v>
      </c>
      <c r="C44" s="84">
        <f t="array" ref="C44">IF(MapWeight!$C$6&lt;&gt;0, SUMPRODUCT(TRANSPOSE(CLO_Attainments!C44:CH44),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82.4375</v>
      </c>
      <c r="D44" s="84">
        <f t="array" ref="D44">IF(MapWeight!$D$6&lt;&gt;0, SUMPRODUCT(TRANSPOSE(CLO_Attainments!C44:CH44),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81.57692308</v>
      </c>
      <c r="E44" s="84">
        <f t="array" ref="E44">IF(MapWeight!$E$6&lt;&gt;0, SUMPRODUCT(TRANSPOSE(CLO_Attainments!C44:CH44),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80.34285714</v>
      </c>
      <c r="F44" s="84">
        <f t="array" ref="F44">IF(MapWeight!$F$6&lt;&gt;0, SUMPRODUCT(TRANSPOSE(CLO_Attainments!C44:CH44),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82.82978723</v>
      </c>
      <c r="G44" s="84">
        <f t="array" ref="G44">IF(MapWeight!$G$6&lt;&gt;0, SUMPRODUCT(TRANSPOSE(CLO_Attainments!C44:CH44),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82.21153846</v>
      </c>
      <c r="H44" s="84">
        <f t="array" ref="H44">IF(MapWeight!$H$6&lt;&gt;0, SUMPRODUCT(TRANSPOSE(CLO_Attainments!C44:CH44),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80.6</v>
      </c>
      <c r="I44" s="84">
        <f t="array" ref="I44">IF(MapWeight!$I$6&lt;&gt;0, SUMPRODUCT(TRANSPOSE(CLO_Attainments!C44:CH44),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82.175</v>
      </c>
      <c r="J44" s="84">
        <f t="array" ref="J44">IF(MapWeight!$J$6&lt;&gt;0, SUMPRODUCT(TRANSPOSE(CLO_Attainments!C44:CH44),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83.41666667</v>
      </c>
      <c r="K44" s="84">
        <f t="array" ref="K44">IF(MapWeight!$K$6&lt;&gt;0, SUMPRODUCT(TRANSPOSE(CLO_Attainments!C44:CH44),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80.4</v>
      </c>
      <c r="L44" s="84">
        <f t="array" ref="L44">IF(MapWeight!$L$6&lt;&gt;0, SUMPRODUCT(TRANSPOSE(CLO_Attainments!C44:CH44),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83.12903226</v>
      </c>
      <c r="M44" s="84">
        <f t="array" ref="M44">IF(MapWeight!$M$6&lt;&gt;0, SUMPRODUCT(TRANSPOSE(CLO_Attainments!C44:CH44),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83.78378378</v>
      </c>
    </row>
    <row r="45">
      <c r="A45" s="47" t="s">
        <v>147</v>
      </c>
      <c r="B45" s="47" t="s">
        <v>148</v>
      </c>
      <c r="C45" s="84">
        <f t="array" ref="C45">IF(MapWeight!$C$6&lt;&gt;0, SUMPRODUCT(TRANSPOSE(CLO_Attainments!C45:CH45), VSTACK(MapWeight!$C$8:$C$10, MapWeight!$C$12:$C$14, MapWeight!$C$16:$C$18, MapWeight!$C$20:$C$22, MapWeight!$C$24:$C$26, MapWeight!$C$28:$C$30, MapWeight!$C$32:$C$34, MapWeight!$C$36:$C$38, MapWeight!$C$40:$C$42, MapWeight!$C$44:$C$46, MapWeight!$C$48:$C$50, MapWeight!$C$52:$C$54, MapWeight!$C$56:$C$58, MapWeight!$C$60:$C$62, MapWeight!$C$64:$C$66, MapWeight!$C$68:$C$70, MapWeight!$C$72:$C$74, MapWeight!$C$76:$C$78, MapWeight!$C$80:$C$82, MapWeight!$C$84:$C$86, MapWeight!$C$88:$C$90, MapWeight!$C$92:$C$94, MapWeight!$C$96:$C$98, MapWeight!$C$100:$C$102, MapWeight!$C$104:$C$106, MapWeight!$C$108:$C$110, MapWeight!$C$112:$C$114, MapWeight!$C$116:$C$118) / MapWeight!$C$6), "")</f>
        <v>80</v>
      </c>
      <c r="D45" s="84">
        <f t="array" ref="D45">IF(MapWeight!$D$6&lt;&gt;0, SUMPRODUCT(TRANSPOSE(CLO_Attainments!C45:CH45), VSTACK(MapWeight!$D$8:$D$10, MapWeight!$D$12:$D$14, MapWeight!$D$16:$D$18, MapWeight!$D$20:$D$22, MapWeight!$D$24:$D$26, MapWeight!$D$28:$D$30, MapWeight!$D$32:$D$34, MapWeight!$D$36:$D$38, MapWeight!$D$40:$D$42, MapWeight!$D$44:$D$46, MapWeight!$D$48:$D$50, MapWeight!$D$52:$D$54, MapWeight!$D$56:$D$58, MapWeight!$D$60:$D$62, MapWeight!$D$64:$D$66, MapWeight!$D$68:$D$70, MapWeight!$D$72:$D$74, MapWeight!$D$76:$D$78, MapWeight!$D$80:$D$82, MapWeight!$D$84:$D$86, MapWeight!$D$88:$D$90, MapWeight!$D$92:$D$94, MapWeight!$D$96:$D$98, MapWeight!$D$100:$D$102, MapWeight!$D$104:$D$106, MapWeight!$D$108:$D$110, MapWeight!$D$112:$D$114, MapWeight!$D$116:$D$118) / MapWeight!$D$6), "")</f>
        <v>81.88461538</v>
      </c>
      <c r="E45" s="84">
        <f t="array" ref="E45">IF(MapWeight!$E$6&lt;&gt;0, SUMPRODUCT(TRANSPOSE(CLO_Attainments!C45:CH45), VSTACK(MapWeight!$E$8:$E$10, MapWeight!$E$12:$E$14, MapWeight!$E$16:$E$18, MapWeight!$E$20:$E$22, MapWeight!$E$24:$E$26, MapWeight!$E$28:$E$30, MapWeight!$E$32:$E$34, MapWeight!$E$36:$E$38, MapWeight!$E$40:$E$42, MapWeight!$E$44:$E$46, MapWeight!$E$48:$E$50, MapWeight!$E$52:$E$54, MapWeight!$E$56:$E$58, MapWeight!$E$60:$E$62, MapWeight!$E$64:$E$66, MapWeight!$E$68:$E$70, MapWeight!$E$72:$E$74, MapWeight!$E$76:$E$78, MapWeight!$E$80:$E$82, MapWeight!$E$84:$E$86, MapWeight!$E$88:$E$90, MapWeight!$E$92:$E$94, MapWeight!$E$96:$E$98, MapWeight!$E$100:$E$102, MapWeight!$E$104:$E$106, MapWeight!$E$108:$E$110, MapWeight!$E$112:$E$114, MapWeight!$E$116:$E$118) / MapWeight!$E$6), "")</f>
        <v>77.75714286</v>
      </c>
      <c r="F45" s="84">
        <f t="array" ref="F45">IF(MapWeight!$F$6&lt;&gt;0, SUMPRODUCT(TRANSPOSE(CLO_Attainments!C45:CH45), VSTACK(MapWeight!$F$8:$F$10, MapWeight!$F$12:$F$14, MapWeight!$F$16:$F$18, MapWeight!$F$20:$F$22, MapWeight!$F$24:$F$26, MapWeight!$F$28:$F$30, MapWeight!$F$32:$F$34, MapWeight!$F$36:$F$38, MapWeight!$F$40:$F$42, MapWeight!$F$44:$F$46, MapWeight!$F$48:$F$50, MapWeight!$F$52:$F$54, MapWeight!$F$56:$F$58, MapWeight!$F$60:$F$62, MapWeight!$F$64:$F$66, MapWeight!$F$68:$F$70, MapWeight!$F$72:$F$74, MapWeight!$F$76:$F$78, MapWeight!$F$80:$F$82, MapWeight!$F$84:$F$86, MapWeight!$F$88:$F$90, MapWeight!$F$92:$F$94, MapWeight!$F$96:$F$98, MapWeight!$F$100:$F$102, MapWeight!$F$104:$F$106, MapWeight!$F$108:$F$110, MapWeight!$F$112:$F$114, MapWeight!$F$116:$F$118) / MapWeight!$F$6), "")</f>
        <v>82.38297872</v>
      </c>
      <c r="G45" s="84">
        <f t="array" ref="G45">IF(MapWeight!$G$6&lt;&gt;0, SUMPRODUCT(TRANSPOSE(CLO_Attainments!C45:CH45), VSTACK(MapWeight!$G$8:$G$10, MapWeight!$G$12:$G$14, MapWeight!$G$16:$G$18, MapWeight!$G$20:$G$22, MapWeight!$G$24:$G$26, MapWeight!$G$28:$G$30, MapWeight!$G$32:$G$34, MapWeight!$G$36:$G$38, MapWeight!$G$40:$G$42, MapWeight!$G$44:$G$46, MapWeight!$G$48:$G$50, MapWeight!$G$52:$G$54, MapWeight!$G$56:$G$58, MapWeight!$G$60:$G$62, MapWeight!$G$64:$G$66, MapWeight!$G$68:$G$70, MapWeight!$G$72:$G$74, MapWeight!$G$76:$G$78, MapWeight!$G$80:$G$82, MapWeight!$G$84:$G$86, MapWeight!$G$88:$G$90, MapWeight!$G$92:$G$94, MapWeight!$G$96:$G$98, MapWeight!$G$100:$G$102, MapWeight!$G$104:$G$106, MapWeight!$G$108:$G$110, MapWeight!$G$112:$G$114, MapWeight!$G$116:$G$118) / MapWeight!$G$6), "")</f>
        <v>80.13461538</v>
      </c>
      <c r="H45" s="84">
        <f t="array" ref="H45">IF(MapWeight!$H$6&lt;&gt;0, SUMPRODUCT(TRANSPOSE(CLO_Attainments!C45:CH45), VSTACK(MapWeight!$H$8:$H$10, MapWeight!$H$12:$H$14, MapWeight!$H$16:$H$18, MapWeight!$H$20:$H$22, MapWeight!$H$24:$H$26, MapWeight!$H$28:$H$30, MapWeight!$H$32:$H$34, MapWeight!$H$36:$H$38, MapWeight!$H$40:$H$42, MapWeight!$H$44:$H$46, MapWeight!$H$48:$H$50, MapWeight!$H$52:$H$54, MapWeight!$H$56:$H$58, MapWeight!$H$60:$H$62, MapWeight!$H$64:$H$66, MapWeight!$H$68:$H$70, MapWeight!$H$72:$H$74, MapWeight!$H$76:$H$78, MapWeight!$H$80:$H$82, MapWeight!$H$84:$H$86, MapWeight!$H$88:$H$90, MapWeight!$H$92:$H$94, MapWeight!$H$96:$H$98, MapWeight!$H$100:$H$102, MapWeight!$H$104:$H$106, MapWeight!$H$108:$H$110, MapWeight!$H$112:$H$114, MapWeight!$H$116:$H$118) / MapWeight!$H$6), "")</f>
        <v>80.56666667</v>
      </c>
      <c r="I45" s="84">
        <f t="array" ref="I45">IF(MapWeight!$I$6&lt;&gt;0, SUMPRODUCT(TRANSPOSE(CLO_Attainments!C45:CH45), VSTACK(MapWeight!$I$8:$I$10, MapWeight!$I$12:$I$14, MapWeight!$I$16:$I$18, MapWeight!$I$20:$I$22, MapWeight!$I$24:$I$26, MapWeight!$I$28:$I$30, MapWeight!$I$32:$I$34, MapWeight!$I$36:$I$38, MapWeight!$I$40:$I$42, MapWeight!$I$44:$I$46, MapWeight!$I$48:$I$50, MapWeight!$I$52:$I$54, MapWeight!$I$56:$I$58, MapWeight!$I$60:$I$62, MapWeight!$I$64:$I$66, MapWeight!$I$68:$I$70, MapWeight!$I$72:$I$74, MapWeight!$I$76:$I$78, MapWeight!$I$80:$I$82, MapWeight!$I$84:$I$86, MapWeight!$I$88:$I$90, MapWeight!$I$92:$I$94, MapWeight!$I$96:$I$98, MapWeight!$I$100:$I$102, MapWeight!$I$104:$I$106, MapWeight!$I$108:$I$110, MapWeight!$I$112:$I$114, MapWeight!$I$116:$I$118) / MapWeight!$I$6), "")</f>
        <v>83.675</v>
      </c>
      <c r="J45" s="84">
        <f t="array" ref="J45">IF(MapWeight!$J$6&lt;&gt;0, SUMPRODUCT(TRANSPOSE(CLO_Attainments!C45:CH45), VSTACK(MapWeight!$J$8:$J$10, MapWeight!$J$12:$J$14, MapWeight!$J$16:$J$18, MapWeight!$J$20:$J$22, MapWeight!$J$24:$J$26, MapWeight!$J$28:$J$30, MapWeight!$J$32:$J$34, MapWeight!$J$36:$J$38, MapWeight!$J$40:$J$42, MapWeight!$J$44:$J$46, MapWeight!$J$48:$J$50, MapWeight!$J$52:$J$54, MapWeight!$J$56:$J$58, MapWeight!$J$60:$J$62, MapWeight!$J$64:$J$66, MapWeight!$J$68:$J$70, MapWeight!$J$72:$J$74, MapWeight!$J$76:$J$78, MapWeight!$J$80:$J$82, MapWeight!$J$84:$J$86, MapWeight!$J$88:$J$90, MapWeight!$J$92:$J$94, MapWeight!$J$96:$J$98, MapWeight!$J$100:$J$102, MapWeight!$J$104:$J$106, MapWeight!$J$108:$J$110, MapWeight!$J$112:$J$114, MapWeight!$J$116:$J$118) / MapWeight!$J$6), "")</f>
        <v>83.38888889</v>
      </c>
      <c r="K45" s="84">
        <f t="array" ref="K45">IF(MapWeight!$K$6&lt;&gt;0, SUMPRODUCT(TRANSPOSE(CLO_Attainments!C45:CH45), VSTACK(MapWeight!$K$8:$K$10, MapWeight!$K$12:$K$14, MapWeight!$K$16:$K$18, MapWeight!$K$20:$K$22, MapWeight!$K$24:$K$26, MapWeight!$K$28:$K$30, MapWeight!$K$32:$K$34, MapWeight!$K$36:$K$38, MapWeight!$K$40:$K$42, MapWeight!$K$44:$K$46, MapWeight!$K$48:$K$50, MapWeight!$K$52:$K$54, MapWeight!$K$56:$K$58, MapWeight!$K$60:$K$62, MapWeight!$K$64:$K$66, MapWeight!$K$68:$K$70, MapWeight!$K$72:$K$74, MapWeight!$K$76:$K$78, MapWeight!$K$80:$K$82, MapWeight!$K$84:$K$86, MapWeight!$K$88:$K$90, MapWeight!$K$92:$K$94, MapWeight!$K$96:$K$98, MapWeight!$K$100:$K$102, MapWeight!$K$104:$K$106, MapWeight!$K$108:$K$110, MapWeight!$K$112:$K$114, MapWeight!$K$116:$K$118) / MapWeight!$K$6), "")</f>
        <v>79.22857143</v>
      </c>
      <c r="L45" s="84">
        <f t="array" ref="L45">IF(MapWeight!$L$6&lt;&gt;0, SUMPRODUCT(TRANSPOSE(CLO_Attainments!C45:CH45), VSTACK(MapWeight!$L$8:$L$10, MapWeight!$L$12:$L$14, MapWeight!$L$16:$L$18, MapWeight!$L$20:$L$22, MapWeight!$L$24:$L$26, MapWeight!$L$28:$L$30, MapWeight!$L$32:$L$34, MapWeight!$L$36:$L$38, MapWeight!$L$40:$L$42, MapWeight!$L$44:$L$46, MapWeight!$L$48:$L$50, MapWeight!$L$52:$L$54, MapWeight!$L$56:$L$58, MapWeight!$L$60:$L$62, MapWeight!$L$64:$L$66, MapWeight!$L$68:$L$70, MapWeight!$L$72:$L$74, MapWeight!$L$76:$L$78, MapWeight!$L$80:$L$82, MapWeight!$L$84:$L$86, MapWeight!$L$88:$L$90, MapWeight!$L$92:$L$94, MapWeight!$L$96:$L$98, MapWeight!$L$100:$L$102, MapWeight!$L$104:$L$106, MapWeight!$L$108:$L$110, MapWeight!$L$112:$L$114, MapWeight!$L$116:$L$118) / MapWeight!$L$6), "")</f>
        <v>85.41935484</v>
      </c>
      <c r="M45" s="84">
        <f t="array" ref="M45">IF(MapWeight!$M$6&lt;&gt;0, SUMPRODUCT(TRANSPOSE(CLO_Attainments!C45:CH45), VSTACK(MapWeight!$M$8:$M$10, MapWeight!$M$12:$M$14, MapWeight!$M$16:$M$18, MapWeight!$M$20:$M$22, MapWeight!$M$24:$M$26, MapWeight!$M$28:$M$30, MapWeight!$M$32:$M$34, MapWeight!$M$36:$M$38, MapWeight!$M$40:$M$42, MapWeight!$M$44:$M$46, MapWeight!$M$48:$M$50, MapWeight!$M$52:$M$54, MapWeight!$M$56:$M$58, MapWeight!$M$60:$M$62, MapWeight!$M$64:$M$66, MapWeight!$M$68:$M$70, MapWeight!$M$72:$M$74, MapWeight!$M$76:$M$78, MapWeight!$M$80:$M$82, MapWeight!$M$84:$M$86, MapWeight!$M$88:$M$90, MapWeight!$M$92:$M$94, MapWeight!$M$96:$M$98, MapWeight!$M$100:$M$102, MapWeight!$M$104:$M$106, MapWeight!$M$108:$M$110, MapWeight!$M$112:$M$114, MapWeight!$M$116:$M$118) / MapWeight!$M$6), "")</f>
        <v>83.2972973</v>
      </c>
    </row>
    <row r="46"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</row>
    <row r="47">
      <c r="B47" s="1" t="s">
        <v>185</v>
      </c>
      <c r="C47" s="104">
        <f t="shared" ref="C47:M47" si="1">AVERAGE(C6:C45)</f>
        <v>79.40677083</v>
      </c>
      <c r="D47" s="104">
        <f t="shared" si="1"/>
        <v>79.85480769</v>
      </c>
      <c r="E47" s="104">
        <f t="shared" si="1"/>
        <v>78.97785714</v>
      </c>
      <c r="F47" s="104">
        <f t="shared" si="1"/>
        <v>79.70265957</v>
      </c>
      <c r="G47" s="104">
        <f t="shared" si="1"/>
        <v>79.54375</v>
      </c>
      <c r="H47" s="104">
        <f t="shared" si="1"/>
        <v>79.58708333</v>
      </c>
      <c r="I47" s="104">
        <f t="shared" si="1"/>
        <v>80.044375</v>
      </c>
      <c r="J47" s="104">
        <f t="shared" si="1"/>
        <v>80.23263889</v>
      </c>
      <c r="K47" s="104">
        <f t="shared" si="1"/>
        <v>79.78142857</v>
      </c>
      <c r="L47" s="104">
        <f t="shared" si="1"/>
        <v>80.20080645</v>
      </c>
      <c r="M47" s="104">
        <f t="shared" si="1"/>
        <v>80.04864865</v>
      </c>
    </row>
    <row r="48">
      <c r="B48" s="2" t="s">
        <v>186</v>
      </c>
      <c r="C48" s="105">
        <f t="shared" ref="C48:M48" si="2">COUNTA(C6:C45)</f>
        <v>40</v>
      </c>
      <c r="D48" s="105">
        <f t="shared" si="2"/>
        <v>40</v>
      </c>
      <c r="E48" s="105">
        <f t="shared" si="2"/>
        <v>40</v>
      </c>
      <c r="F48" s="105">
        <f t="shared" si="2"/>
        <v>40</v>
      </c>
      <c r="G48" s="105">
        <f t="shared" si="2"/>
        <v>40</v>
      </c>
      <c r="H48" s="105">
        <f t="shared" si="2"/>
        <v>40</v>
      </c>
      <c r="I48" s="105">
        <f t="shared" si="2"/>
        <v>40</v>
      </c>
      <c r="J48" s="105">
        <f t="shared" si="2"/>
        <v>40</v>
      </c>
      <c r="K48" s="105">
        <f t="shared" si="2"/>
        <v>40</v>
      </c>
      <c r="L48" s="105">
        <f t="shared" si="2"/>
        <v>40</v>
      </c>
      <c r="M48" s="105">
        <f t="shared" si="2"/>
        <v>40</v>
      </c>
    </row>
    <row r="49">
      <c r="B49" s="2" t="s">
        <v>151</v>
      </c>
      <c r="C49" s="105">
        <f t="shared" ref="C49:M49" si="3">COUNTIF(C6:C45, "&gt;=70")</f>
        <v>40</v>
      </c>
      <c r="D49" s="105">
        <f t="shared" si="3"/>
        <v>40</v>
      </c>
      <c r="E49" s="105">
        <f t="shared" si="3"/>
        <v>40</v>
      </c>
      <c r="F49" s="105">
        <f t="shared" si="3"/>
        <v>40</v>
      </c>
      <c r="G49" s="105">
        <f t="shared" si="3"/>
        <v>40</v>
      </c>
      <c r="H49" s="105">
        <f t="shared" si="3"/>
        <v>40</v>
      </c>
      <c r="I49" s="105">
        <f t="shared" si="3"/>
        <v>40</v>
      </c>
      <c r="J49" s="105">
        <f t="shared" si="3"/>
        <v>40</v>
      </c>
      <c r="K49" s="105">
        <f t="shared" si="3"/>
        <v>40</v>
      </c>
      <c r="L49" s="105">
        <f t="shared" si="3"/>
        <v>40</v>
      </c>
      <c r="M49" s="105">
        <f t="shared" si="3"/>
        <v>40</v>
      </c>
    </row>
    <row r="50">
      <c r="B50" s="1" t="s">
        <v>187</v>
      </c>
      <c r="C50" s="104">
        <f t="shared" ref="C50:M50" si="4">COUNTIF(C6:C45, "&gt;=70")/COUNTA(C6:C45) * 100</f>
        <v>100</v>
      </c>
      <c r="D50" s="104">
        <f t="shared" si="4"/>
        <v>100</v>
      </c>
      <c r="E50" s="104">
        <f t="shared" si="4"/>
        <v>100</v>
      </c>
      <c r="F50" s="104">
        <f t="shared" si="4"/>
        <v>100</v>
      </c>
      <c r="G50" s="104">
        <f t="shared" si="4"/>
        <v>100</v>
      </c>
      <c r="H50" s="104">
        <f t="shared" si="4"/>
        <v>100</v>
      </c>
      <c r="I50" s="104">
        <f t="shared" si="4"/>
        <v>100</v>
      </c>
      <c r="J50" s="104">
        <f t="shared" si="4"/>
        <v>100</v>
      </c>
      <c r="K50" s="104">
        <f t="shared" si="4"/>
        <v>100</v>
      </c>
      <c r="L50" s="104">
        <f t="shared" si="4"/>
        <v>100</v>
      </c>
      <c r="M50" s="104">
        <f t="shared" si="4"/>
        <v>100</v>
      </c>
    </row>
    <row r="51">
      <c r="B51" s="2" t="s">
        <v>152</v>
      </c>
      <c r="C51" s="106" t="str">
        <f t="shared" ref="C51:M51" si="5">IF(C50&gt;=70, "✅", "❌")</f>
        <v>✅</v>
      </c>
      <c r="D51" s="106" t="str">
        <f t="shared" si="5"/>
        <v>✅</v>
      </c>
      <c r="E51" s="106" t="str">
        <f t="shared" si="5"/>
        <v>✅</v>
      </c>
      <c r="F51" s="106" t="str">
        <f t="shared" si="5"/>
        <v>✅</v>
      </c>
      <c r="G51" s="106" t="str">
        <f t="shared" si="5"/>
        <v>✅</v>
      </c>
      <c r="H51" s="106" t="str">
        <f t="shared" si="5"/>
        <v>✅</v>
      </c>
      <c r="I51" s="106" t="str">
        <f t="shared" si="5"/>
        <v>✅</v>
      </c>
      <c r="J51" s="106" t="str">
        <f t="shared" si="5"/>
        <v>✅</v>
      </c>
      <c r="K51" s="106" t="str">
        <f t="shared" si="5"/>
        <v>✅</v>
      </c>
      <c r="L51" s="106" t="str">
        <f t="shared" si="5"/>
        <v>✅</v>
      </c>
      <c r="M51" s="106" t="str">
        <f t="shared" si="5"/>
        <v>✅</v>
      </c>
    </row>
    <row r="54">
      <c r="A54" s="1" t="s">
        <v>153</v>
      </c>
    </row>
    <row r="55">
      <c r="A55" s="2" t="s">
        <v>154</v>
      </c>
    </row>
    <row r="56">
      <c r="B56" s="2" t="s">
        <v>155</v>
      </c>
    </row>
    <row r="57">
      <c r="B57" s="2" t="s">
        <v>156</v>
      </c>
    </row>
    <row r="58">
      <c r="A58" s="2" t="s">
        <v>157</v>
      </c>
    </row>
    <row r="59">
      <c r="B59" s="2" t="s">
        <v>158</v>
      </c>
    </row>
    <row r="60">
      <c r="B60" s="2" t="s">
        <v>159</v>
      </c>
    </row>
    <row r="61">
      <c r="A61" s="2" t="s">
        <v>188</v>
      </c>
    </row>
  </sheetData>
  <mergeCells count="3">
    <mergeCell ref="A3:A4"/>
    <mergeCell ref="B3:B4"/>
    <mergeCell ref="C3:M3"/>
  </mergeCells>
  <conditionalFormatting sqref="C6:E45">
    <cfRule type="cellIs" dxfId="1" priority="1" operator="lessThan">
      <formula>70</formula>
    </cfRule>
  </conditionalFormatting>
  <conditionalFormatting sqref="C50:E50">
    <cfRule type="cellIs" dxfId="0" priority="2" operator="lessThan">
      <formula>70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4" max="6" width="25.13"/>
  </cols>
  <sheetData>
    <row r="1">
      <c r="A1" s="1" t="s">
        <v>161</v>
      </c>
    </row>
    <row r="3">
      <c r="A3" s="1" t="s">
        <v>162</v>
      </c>
    </row>
    <row r="4">
      <c r="A4" s="1" t="s">
        <v>163</v>
      </c>
    </row>
    <row r="5">
      <c r="A5" s="5" t="s">
        <v>164</v>
      </c>
      <c r="B5" s="92" t="s">
        <v>165</v>
      </c>
      <c r="C5" s="11"/>
      <c r="D5" s="5" t="s">
        <v>166</v>
      </c>
      <c r="E5" s="5" t="s">
        <v>167</v>
      </c>
      <c r="F5" s="5" t="s">
        <v>168</v>
      </c>
    </row>
    <row r="6">
      <c r="A6" s="12"/>
      <c r="B6" s="93" t="s">
        <v>169</v>
      </c>
      <c r="C6" s="93" t="s">
        <v>170</v>
      </c>
      <c r="D6" s="12"/>
      <c r="E6" s="12"/>
      <c r="F6" s="12"/>
    </row>
    <row r="7">
      <c r="A7" s="94" t="s">
        <v>171</v>
      </c>
      <c r="B7" s="95"/>
      <c r="C7" s="95"/>
      <c r="D7" s="95"/>
      <c r="E7" s="95"/>
      <c r="F7" s="95"/>
    </row>
    <row r="8">
      <c r="A8" s="96" t="s">
        <v>172</v>
      </c>
      <c r="B8" s="97" t="s">
        <v>173</v>
      </c>
      <c r="C8" s="98" t="s">
        <v>57</v>
      </c>
      <c r="D8" s="99" t="s">
        <v>174</v>
      </c>
      <c r="E8" s="99" t="s">
        <v>175</v>
      </c>
      <c r="F8" s="99" t="s">
        <v>176</v>
      </c>
    </row>
    <row r="9">
      <c r="A9" s="81"/>
      <c r="B9" s="100" t="s">
        <v>177</v>
      </c>
      <c r="C9" s="98"/>
      <c r="D9" s="99"/>
      <c r="E9" s="99"/>
      <c r="F9" s="99" t="s">
        <v>176</v>
      </c>
    </row>
    <row r="10">
      <c r="A10" s="12"/>
      <c r="B10" s="100" t="s">
        <v>177</v>
      </c>
      <c r="C10" s="98"/>
      <c r="D10" s="99"/>
      <c r="E10" s="99"/>
      <c r="F10" s="99" t="s">
        <v>176</v>
      </c>
    </row>
    <row r="11">
      <c r="A11" s="94" t="s">
        <v>178</v>
      </c>
      <c r="B11" s="95"/>
      <c r="C11" s="95"/>
      <c r="D11" s="95"/>
      <c r="E11" s="95"/>
      <c r="F11" s="95"/>
    </row>
    <row r="12">
      <c r="A12" s="96" t="s">
        <v>179</v>
      </c>
      <c r="B12" s="97" t="s">
        <v>180</v>
      </c>
      <c r="C12" s="98" t="s">
        <v>57</v>
      </c>
      <c r="D12" s="99" t="s">
        <v>174</v>
      </c>
      <c r="E12" s="99" t="s">
        <v>175</v>
      </c>
      <c r="F12" s="99" t="s">
        <v>176</v>
      </c>
    </row>
    <row r="13">
      <c r="A13" s="81"/>
      <c r="B13" s="100" t="s">
        <v>177</v>
      </c>
      <c r="C13" s="98"/>
      <c r="D13" s="99"/>
      <c r="E13" s="99"/>
      <c r="F13" s="99" t="s">
        <v>176</v>
      </c>
    </row>
    <row r="14">
      <c r="A14" s="12"/>
      <c r="B14" s="100" t="s">
        <v>177</v>
      </c>
      <c r="C14" s="98"/>
      <c r="D14" s="99"/>
      <c r="E14" s="99"/>
      <c r="F14" s="99" t="s">
        <v>176</v>
      </c>
    </row>
    <row r="15">
      <c r="A15" s="94" t="s">
        <v>181</v>
      </c>
      <c r="B15" s="95"/>
      <c r="C15" s="95"/>
      <c r="D15" s="95"/>
      <c r="E15" s="95"/>
      <c r="F15" s="95"/>
    </row>
    <row r="16">
      <c r="A16" s="96" t="s">
        <v>182</v>
      </c>
      <c r="B16" s="97" t="s">
        <v>183</v>
      </c>
      <c r="C16" s="101" t="s">
        <v>67</v>
      </c>
      <c r="D16" s="99" t="s">
        <v>174</v>
      </c>
      <c r="E16" s="99" t="s">
        <v>175</v>
      </c>
      <c r="F16" s="99" t="s">
        <v>176</v>
      </c>
    </row>
    <row r="17">
      <c r="A17" s="81"/>
      <c r="B17" s="100" t="s">
        <v>177</v>
      </c>
      <c r="C17" s="101"/>
      <c r="D17" s="99"/>
      <c r="E17" s="99"/>
      <c r="F17" s="99" t="s">
        <v>176</v>
      </c>
    </row>
    <row r="18">
      <c r="A18" s="12"/>
      <c r="B18" s="100" t="s">
        <v>177</v>
      </c>
      <c r="C18" s="101"/>
      <c r="D18" s="99"/>
      <c r="E18" s="99"/>
      <c r="F18" s="99" t="s">
        <v>176</v>
      </c>
    </row>
    <row r="21">
      <c r="A21" s="102" t="s">
        <v>184</v>
      </c>
    </row>
  </sheetData>
  <mergeCells count="10">
    <mergeCell ref="A8:A10"/>
    <mergeCell ref="A12:A14"/>
    <mergeCell ref="A16:A18"/>
    <mergeCell ref="A3:F3"/>
    <mergeCell ref="A4:F4"/>
    <mergeCell ref="A5:A6"/>
    <mergeCell ref="B5:C5"/>
    <mergeCell ref="D5:D6"/>
    <mergeCell ref="E5:E6"/>
    <mergeCell ref="F5:F6"/>
  </mergeCells>
  <drawing r:id="rId1"/>
</worksheet>
</file>